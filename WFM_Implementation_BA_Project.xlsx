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Dashboard" sheetId="2" state="visible" r:id="rId4"/>
    <sheet name="Requirements" sheetId="3" state="visible" r:id="rId5"/>
    <sheet name="Process_Map" sheetId="4" state="visible" r:id="rId6"/>
    <sheet name="Config" sheetId="5" state="visible" r:id="rId7"/>
    <sheet name="Legacy_Employees" sheetId="6" state="visible" r:id="rId8"/>
    <sheet name="WFM_Import" sheetId="7" state="visible" r:id="rId9"/>
    <sheet name="Validation" sheetId="8" state="visible" r:id="rId10"/>
    <sheet name="Recon" sheetId="9" state="visible" r:id="rId11"/>
    <sheet name="UAT" sheetId="10" state="visible" r:id="rId12"/>
    <sheet name="GoLive_Training" sheetId="11" state="visible" r:id="rId13"/>
    <sheet name="Resume_Uplift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<sst xmlns="http://schemas.openxmlformats.org/spreadsheetml/2006/main" count="1217" uniqueCount="552">
  <si>
    <t xml:space="preserve">Workforce Management System Implementation - Business Analyst portfolio project</t>
  </si>
  <si>
    <t xml:space="preserve">Self-directed project modelled on a BA role supporting a WFM / Field Service / time &amp; attendance rollout. All data is synthetic.</t>
  </si>
  <si>
    <t xml:space="preserve">Scenario</t>
  </si>
  <si>
    <t xml:space="preserve">Fictional environmental services company moving ~2,300 staff in Australia and New Zealand from paper timesheets and legacy HR onto a new Workforce Management and Field Service system.</t>
  </si>
  <si>
    <t xml:space="preserve">Your role</t>
  </si>
  <si>
    <t xml:space="preserve">Business Analyst reporting to the Head of Transformation: requirements, process mapping, configuration, data migration, UAT, training and go-live support.</t>
  </si>
  <si>
    <t xml:space="preserve">How to read it</t>
  </si>
  <si>
    <t xml:space="preserve">Start at Dashboard. Then Requirements -&gt; Process_Map -&gt; Config -&gt; Validation -&gt; Recon -&gt; UAT -&gt; GoLive_Training. Resume_Uplift maps each gap to a bullet.</t>
  </si>
  <si>
    <t xml:space="preserve">Key finding</t>
  </si>
  <si>
    <t xml:space="preserve">Migration accuracy is well below go-live standard; defects trace back to source data issues and load mappings. See Validation and Recon.</t>
  </si>
  <si>
    <t xml:space="preserve">Skills demonstrated</t>
  </si>
  <si>
    <t xml:space="preserve">Requirements gathering, process mapping, system configuration, data migration, validation, reconciliation, INDEX/MATCH, pivot-style reporting, UAT, training materials, stakeholder engagement.</t>
  </si>
  <si>
    <t xml:space="preserve">Assumptions</t>
  </si>
  <si>
    <t xml:space="preserve">All people, award codes, rates and UAT results are fictional/simulated. Blue font = editable inputs. Replace or extend with your own data.</t>
  </si>
  <si>
    <t xml:space="preserve">Stretch tasks</t>
  </si>
  <si>
    <t xml:space="preserve">1) Build a real PivotTable on Recon. 2) Add a Python/pandas script that reproduces Recon. 3) Draw the process map in Lucidchart. 4) Write a one-page go/no-go memo from the Dashboard numbers.</t>
  </si>
  <si>
    <t xml:space="preserve">Dashboard - migration health, test results and requirements coverage</t>
  </si>
  <si>
    <t xml:space="preserve">All figures are live formulas.</t>
  </si>
  <si>
    <t xml:space="preserve">Data migration</t>
  </si>
  <si>
    <t xml:space="preserve">Region</t>
  </si>
  <si>
    <t xml:space="preserve">Legacy</t>
  </si>
  <si>
    <t xml:space="preserve">Match</t>
  </si>
  <si>
    <t xml:space="preserve">Mismatch</t>
  </si>
  <si>
    <t xml:space="preserve">Missing</t>
  </si>
  <si>
    <t xml:space="preserve">Accuracy</t>
  </si>
  <si>
    <t xml:space="preserve">Legacy records</t>
  </si>
  <si>
    <t xml:space="preserve">NSW</t>
  </si>
  <si>
    <t xml:space="preserve">Records in WFM</t>
  </si>
  <si>
    <t xml:space="preserve">VIC</t>
  </si>
  <si>
    <t xml:space="preserve">QLD</t>
  </si>
  <si>
    <t xml:space="preserve">Field mismatches</t>
  </si>
  <si>
    <t xml:space="preserve">NZ</t>
  </si>
  <si>
    <t xml:space="preserve">Missing in WFM</t>
  </si>
  <si>
    <t xml:space="preserve">Total</t>
  </si>
  <si>
    <t xml:space="preserve">Orphans in WFM (not in legacy)</t>
  </si>
  <si>
    <t xml:space="preserve">Migration accuracy (Match / Legacy)</t>
  </si>
  <si>
    <t xml:space="preserve">Note: pivot-style table via COUNTIFS. Extension task: build a real PivotTable on Recon (Insert &gt; PivotTable).</t>
  </si>
  <si>
    <t xml:space="preserve">Pre-migration data quality</t>
  </si>
  <si>
    <t xml:space="preserve">Records failing validation</t>
  </si>
  <si>
    <t xml:space="preserve">Duplicate IDs</t>
  </si>
  <si>
    <t xml:space="preserve">Missing/invalid emails</t>
  </si>
  <si>
    <t xml:space="preserve">Invalid award codes</t>
  </si>
  <si>
    <t xml:space="preserve">Rates out of range</t>
  </si>
  <si>
    <t xml:space="preserve">Invalid start dates</t>
  </si>
  <si>
    <t xml:space="preserve">UAT</t>
  </si>
  <si>
    <t xml:space="preserve">Total test cases</t>
  </si>
  <si>
    <t xml:space="preserve">Pass</t>
  </si>
  <si>
    <t xml:space="preserve">Fail</t>
  </si>
  <si>
    <t xml:space="preserve">Blocked</t>
  </si>
  <si>
    <t xml:space="preserve">Not Run</t>
  </si>
  <si>
    <t xml:space="preserve">Pass rate</t>
  </si>
  <si>
    <t xml:space="preserve">Requirements</t>
  </si>
  <si>
    <t xml:space="preserve">Total requirements</t>
  </si>
  <si>
    <t xml:space="preserve">Must-haves</t>
  </si>
  <si>
    <t xml:space="preserve">Coverage gaps</t>
  </si>
  <si>
    <t xml:space="preserve">Requirements - traceability matrix (RTM)</t>
  </si>
  <si>
    <t xml:space="preserve">Priority = MoSCoW. 'UAT cases' and 'Coverage' are formulas against the UAT sheet.</t>
  </si>
  <si>
    <t xml:space="preserve">ID</t>
  </si>
  <si>
    <t xml:space="preserve">Requirement</t>
  </si>
  <si>
    <t xml:space="preserve">Type</t>
  </si>
  <si>
    <t xml:space="preserve">Stakeholder</t>
  </si>
  <si>
    <t xml:space="preserve">Priority</t>
  </si>
  <si>
    <t xml:space="preserve">Process area</t>
  </si>
  <si>
    <t xml:space="preserve">UAT cases</t>
  </si>
  <si>
    <t xml:space="preserve">Coverage</t>
  </si>
  <si>
    <t xml:space="preserve">Status</t>
  </si>
  <si>
    <t xml:space="preserve">R01</t>
  </si>
  <si>
    <t xml:space="preserve">Employees clock in/out on mobile with GPS location capture</t>
  </si>
  <si>
    <t xml:space="preserve">Functional</t>
  </si>
  <si>
    <t xml:space="preserve">Field Ops Manager</t>
  </si>
  <si>
    <t xml:space="preserve">Must</t>
  </si>
  <si>
    <t xml:space="preserve">Time &amp; attendance</t>
  </si>
  <si>
    <t xml:space="preserve">Approved</t>
  </si>
  <si>
    <t xml:space="preserve">R02</t>
  </si>
  <si>
    <t xml:space="preserve">Rosters built per depot with skills/qualification matching</t>
  </si>
  <si>
    <t xml:space="preserve">Depot Team Leaders</t>
  </si>
  <si>
    <t xml:space="preserve">Rostering</t>
  </si>
  <si>
    <t xml:space="preserve">R03</t>
  </si>
  <si>
    <t xml:space="preserve">System applies overtime and penalty rates per award code</t>
  </si>
  <si>
    <t xml:space="preserve">Payroll Manager</t>
  </si>
  <si>
    <t xml:space="preserve">Pay rules</t>
  </si>
  <si>
    <t xml:space="preserve">R04</t>
  </si>
  <si>
    <t xml:space="preserve">Leave requests submitted and approved in-system</t>
  </si>
  <si>
    <t xml:space="preserve">HR</t>
  </si>
  <si>
    <t xml:space="preserve">Should</t>
  </si>
  <si>
    <t xml:space="preserve">Leave</t>
  </si>
  <si>
    <t xml:space="preserve">R05</t>
  </si>
  <si>
    <t xml:space="preserve">Field jobs scheduled and dispatched to nearest qualified crew</t>
  </si>
  <si>
    <t xml:space="preserve">Field service</t>
  </si>
  <si>
    <t xml:space="preserve">R06</t>
  </si>
  <si>
    <t xml:space="preserve">Employee master data migrated from legacy HR with zero critical defects</t>
  </si>
  <si>
    <t xml:space="preserve">Data</t>
  </si>
  <si>
    <t xml:space="preserve">Head of Transformation</t>
  </si>
  <si>
    <t xml:space="preserve">R07</t>
  </si>
  <si>
    <t xml:space="preserve">Team leaders approve timesheets before payroll cut-off</t>
  </si>
  <si>
    <t xml:space="preserve">R08</t>
  </si>
  <si>
    <t xml:space="preserve">Approved hours exported to payroll in agreed file format</t>
  </si>
  <si>
    <t xml:space="preserve">Integration</t>
  </si>
  <si>
    <t xml:space="preserve">R09</t>
  </si>
  <si>
    <t xml:space="preserve">NZ employees follow separate public holiday and pay rules</t>
  </si>
  <si>
    <t xml:space="preserve">NZ Operations Lead</t>
  </si>
  <si>
    <t xml:space="preserve">R10</t>
  </si>
  <si>
    <t xml:space="preserve">Weekly labour cost report by region and role</t>
  </si>
  <si>
    <t xml:space="preserve">Reporting</t>
  </si>
  <si>
    <t xml:space="preserve">Finance</t>
  </si>
  <si>
    <t xml:space="preserve">R11</t>
  </si>
  <si>
    <t xml:space="preserve">Role-based access (employee, team leader, admin)</t>
  </si>
  <si>
    <t xml:space="preserve">Non-functional</t>
  </si>
  <si>
    <t xml:space="preserve">IT Security</t>
  </si>
  <si>
    <t xml:space="preserve">Security</t>
  </si>
  <si>
    <t xml:space="preserve">R12</t>
  </si>
  <si>
    <t xml:space="preserve">Audit trail on every timesheet edit</t>
  </si>
  <si>
    <t xml:space="preserve">Internal Audit</t>
  </si>
  <si>
    <t xml:space="preserve">Compliance</t>
  </si>
  <si>
    <t xml:space="preserve">R13</t>
  </si>
  <si>
    <t xml:space="preserve">Roster publish completes in under 60 seconds for 2,300 employees</t>
  </si>
  <si>
    <t xml:space="preserve">IT Architect</t>
  </si>
  <si>
    <t xml:space="preserve">Performance</t>
  </si>
  <si>
    <t xml:space="preserve">R14</t>
  </si>
  <si>
    <t xml:space="preserve">Role-specific user guides and quick-reference cards</t>
  </si>
  <si>
    <t xml:space="preserve">Training</t>
  </si>
  <si>
    <t xml:space="preserve">Training Lead</t>
  </si>
  <si>
    <t xml:space="preserve">R15</t>
  </si>
  <si>
    <t xml:space="preserve">Four weeks of hypercare support post go-live</t>
  </si>
  <si>
    <t xml:space="preserve">Adoption</t>
  </si>
  <si>
    <t xml:space="preserve">Process_Map - Timesheet to pay: current vs future state</t>
  </si>
  <si>
    <t xml:space="preserve">Text-based process map (swap in a Visio/Lucidchart diagram if you want to extend it).</t>
  </si>
  <si>
    <t xml:space="preserve">Step</t>
  </si>
  <si>
    <t xml:space="preserve">Current state (as-is)</t>
  </si>
  <si>
    <t xml:space="preserve">Pain point</t>
  </si>
  <si>
    <t xml:space="preserve">Future state (to-be)</t>
  </si>
  <si>
    <t xml:space="preserve">System</t>
  </si>
  <si>
    <t xml:space="preserve">Owner</t>
  </si>
  <si>
    <t xml:space="preserve">Req ID</t>
  </si>
  <si>
    <t xml:space="preserve">Employee writes hours on paper timesheet</t>
  </si>
  <si>
    <t xml:space="preserve">Illegible, late, lost sheets</t>
  </si>
  <si>
    <t xml:space="preserve">Employee clocks in/out on mobile app</t>
  </si>
  <si>
    <t xml:space="preserve">WFM mobile</t>
  </si>
  <si>
    <t xml:space="preserve">Employee</t>
  </si>
  <si>
    <t xml:space="preserve">Team leader collects sheets and emails to admin</t>
  </si>
  <si>
    <t xml:space="preserve">2-3 day delay</t>
  </si>
  <si>
    <t xml:space="preserve">Hours flow to team leader approval queue automatically</t>
  </si>
  <si>
    <t xml:space="preserve">WFM</t>
  </si>
  <si>
    <t xml:space="preserve">Admin re-keys hours into spreadsheet</t>
  </si>
  <si>
    <t xml:space="preserve">Re-keying errors, ~5% rework</t>
  </si>
  <si>
    <t xml:space="preserve">No re-keying: single source of truth</t>
  </si>
  <si>
    <t xml:space="preserve">Payroll applies overtime rules by hand</t>
  </si>
  <si>
    <t xml:space="preserve">Inconsistent rule application</t>
  </si>
  <si>
    <t xml:space="preserve">Award rules applied by configured rule engine</t>
  </si>
  <si>
    <t xml:space="preserve">WFM config</t>
  </si>
  <si>
    <t xml:space="preserve">Payroll</t>
  </si>
  <si>
    <t xml:space="preserve">Exceptions chased by phone</t>
  </si>
  <si>
    <t xml:space="preserve">No audit trail</t>
  </si>
  <si>
    <t xml:space="preserve">Exception dashboard with audit trail on edits</t>
  </si>
  <si>
    <t xml:space="preserve">Team Leader</t>
  </si>
  <si>
    <t xml:space="preserve">Payroll manager prepares upload file</t>
  </si>
  <si>
    <t xml:space="preserve">Manual, error-prone</t>
  </si>
  <si>
    <t xml:space="preserve">Automated export in payroll file format</t>
  </si>
  <si>
    <t xml:space="preserve">Finance builds labour cost report in Excel</t>
  </si>
  <si>
    <t xml:space="preserve">Report 5+ days after period end</t>
  </si>
  <si>
    <t xml:space="preserve">Weekly report by region and role</t>
  </si>
  <si>
    <t xml:space="preserve">WFM reporting</t>
  </si>
  <si>
    <t xml:space="preserve">Config - system configuration baseline</t>
  </si>
  <si>
    <t xml:space="preserve">Blue = editable input. All award codes and rates are FICTIONAL (not a real industrial award).</t>
  </si>
  <si>
    <t xml:space="preserve">Award code</t>
  </si>
  <si>
    <t xml:space="preserve">Description</t>
  </si>
  <si>
    <t xml:space="preserve">Base rate ($/hr)</t>
  </si>
  <si>
    <t xml:space="preserve">OT multiplier</t>
  </si>
  <si>
    <t xml:space="preserve">Weekend multiplier</t>
  </si>
  <si>
    <t xml:space="preserve">Min engagement (hrs)</t>
  </si>
  <si>
    <t xml:space="preserve">Setting</t>
  </si>
  <si>
    <t xml:space="preserve">Value</t>
  </si>
  <si>
    <t xml:space="preserve">FS-L1</t>
  </si>
  <si>
    <t xml:space="preserve">Field Services Level 1 (Cleaner)</t>
  </si>
  <si>
    <t xml:space="preserve">Min valid hourly rate ($)</t>
  </si>
  <si>
    <t xml:space="preserve">FS-L2</t>
  </si>
  <si>
    <t xml:space="preserve">Field Services Level 2 (Driver/Helper)</t>
  </si>
  <si>
    <t xml:space="preserve">Max valid hourly rate ($)</t>
  </si>
  <si>
    <t xml:space="preserve">FS-L3</t>
  </si>
  <si>
    <t xml:space="preserve">Field Services Level 3 (Technician)</t>
  </si>
  <si>
    <t xml:space="preserve">Ordinary hours cap per shift</t>
  </si>
  <si>
    <t xml:space="preserve">TL-L4</t>
  </si>
  <si>
    <t xml:space="preserve">Team Leader Level 4</t>
  </si>
  <si>
    <t xml:space="preserve">Data extract date</t>
  </si>
  <si>
    <t xml:space="preserve">ADM-L2</t>
  </si>
  <si>
    <t xml:space="preserve">Depot Admin Level 2</t>
  </si>
  <si>
    <t xml:space="preserve">Worked example: overtime pay rule (use to test configuration logic)</t>
  </si>
  <si>
    <t xml:space="preserve">Hours worked in shift</t>
  </si>
  <si>
    <t xml:space="preserve">Ordinary hours</t>
  </si>
  <si>
    <t xml:space="preserve">Overtime hours</t>
  </si>
  <si>
    <t xml:space="preserve">Base rate</t>
  </si>
  <si>
    <t xml:space="preserve">Gross pay ($)</t>
  </si>
  <si>
    <t xml:space="preserve">Assumption: 7.6 ordinary hours/shift and OT multipliers are illustrative, set to mimic typical award logic.</t>
  </si>
  <si>
    <t xml:space="preserve">Legacy_Employees - source extract (synthetic)</t>
  </si>
  <si>
    <t xml:space="preserve">Legacy HR/payroll extract. Contains deliberately seeded data quality defects for the validation exercise.</t>
  </si>
  <si>
    <t xml:space="preserve">Employee ID</t>
  </si>
  <si>
    <t xml:space="preserve">Name</t>
  </si>
  <si>
    <t xml:space="preserve">Role</t>
  </si>
  <si>
    <t xml:space="preserve">Start date</t>
  </si>
  <si>
    <t xml:space="preserve">Hourly rate ($)</t>
  </si>
  <si>
    <t xml:space="preserve">Email</t>
  </si>
  <si>
    <t xml:space="preserve">E1001</t>
  </si>
  <si>
    <t xml:space="preserve">Oscar Hall</t>
  </si>
  <si>
    <t xml:space="preserve">Driver</t>
  </si>
  <si>
    <t xml:space="preserve">oscar.hall@example.com</t>
  </si>
  <si>
    <t xml:space="preserve">E1002</t>
  </si>
  <si>
    <t xml:space="preserve">Ruby Green</t>
  </si>
  <si>
    <t xml:space="preserve">Cleaner</t>
  </si>
  <si>
    <t xml:space="preserve">ruby.green@example.com</t>
  </si>
  <si>
    <t xml:space="preserve">E1003</t>
  </si>
  <si>
    <t xml:space="preserve">Olivia Patel</t>
  </si>
  <si>
    <t xml:space="preserve">olivia.patel@example.com</t>
  </si>
  <si>
    <t xml:space="preserve">E1004</t>
  </si>
  <si>
    <t xml:space="preserve">Noah Scott</t>
  </si>
  <si>
    <t xml:space="preserve">noah.scott@example.com</t>
  </si>
  <si>
    <t xml:space="preserve">E1005</t>
  </si>
  <si>
    <t xml:space="preserve">Chloe Hall</t>
  </si>
  <si>
    <t xml:space="preserve">E1006</t>
  </si>
  <si>
    <t xml:space="preserve">Max Green</t>
  </si>
  <si>
    <t xml:space="preserve">Field Technician</t>
  </si>
  <si>
    <t xml:space="preserve">max.green@example.com</t>
  </si>
  <si>
    <t xml:space="preserve">E1007</t>
  </si>
  <si>
    <t xml:space="preserve">Olivia Scott</t>
  </si>
  <si>
    <t xml:space="preserve">olivia.scott@example.com</t>
  </si>
  <si>
    <t xml:space="preserve">E1008</t>
  </si>
  <si>
    <t xml:space="preserve">Ella Brown</t>
  </si>
  <si>
    <t xml:space="preserve">ella.brown@example.com</t>
  </si>
  <si>
    <t xml:space="preserve">E1009</t>
  </si>
  <si>
    <t xml:space="preserve">Ava Green</t>
  </si>
  <si>
    <t xml:space="preserve">ava.green@example.com</t>
  </si>
  <si>
    <t xml:space="preserve">E1010</t>
  </si>
  <si>
    <t xml:space="preserve">Ava Scott</t>
  </si>
  <si>
    <t xml:space="preserve">FS-L9</t>
  </si>
  <si>
    <t xml:space="preserve">ava.scott@example.com</t>
  </si>
  <si>
    <t xml:space="preserve">E1011</t>
  </si>
  <si>
    <t xml:space="preserve">Sophie Singh</t>
  </si>
  <si>
    <t xml:space="preserve">sophie.singh@example.com</t>
  </si>
  <si>
    <t xml:space="preserve">E1012</t>
  </si>
  <si>
    <t xml:space="preserve">Tane Anderson</t>
  </si>
  <si>
    <t xml:space="preserve">tane.anderson@example.com</t>
  </si>
  <si>
    <t xml:space="preserve">E1013</t>
  </si>
  <si>
    <t xml:space="preserve">Ruby Ng</t>
  </si>
  <si>
    <t xml:space="preserve">ruby.ng@example.com</t>
  </si>
  <si>
    <t xml:space="preserve">E1014</t>
  </si>
  <si>
    <t xml:space="preserve">Noah Green</t>
  </si>
  <si>
    <t xml:space="preserve">noah.green@example.com</t>
  </si>
  <si>
    <t xml:space="preserve">E1015</t>
  </si>
  <si>
    <t xml:space="preserve">Aroha Young</t>
  </si>
  <si>
    <t xml:space="preserve">aroha.young@example.com</t>
  </si>
  <si>
    <t xml:space="preserve">E1016</t>
  </si>
  <si>
    <t xml:space="preserve">Ava Wright</t>
  </si>
  <si>
    <t xml:space="preserve">ava.wright@example.com</t>
  </si>
  <si>
    <t xml:space="preserve">E1017</t>
  </si>
  <si>
    <t xml:space="preserve">Ethan King</t>
  </si>
  <si>
    <t xml:space="preserve">ethan.king@example.com</t>
  </si>
  <si>
    <t xml:space="preserve">E1018</t>
  </si>
  <si>
    <t xml:space="preserve">Tane Scott</t>
  </si>
  <si>
    <t xml:space="preserve">E1019</t>
  </si>
  <si>
    <t xml:space="preserve">Jack Ward</t>
  </si>
  <si>
    <t xml:space="preserve">jack.ward@example.com</t>
  </si>
  <si>
    <t xml:space="preserve">E1020</t>
  </si>
  <si>
    <t xml:space="preserve">Noah Parker</t>
  </si>
  <si>
    <t xml:space="preserve">noah.parker@example.com</t>
  </si>
  <si>
    <t xml:space="preserve">E1021</t>
  </si>
  <si>
    <t xml:space="preserve">Wiremu Lee</t>
  </si>
  <si>
    <t xml:space="preserve">Depot Admin</t>
  </si>
  <si>
    <t xml:space="preserve">wiremu.lee@example.com</t>
  </si>
  <si>
    <t xml:space="preserve">E1022</t>
  </si>
  <si>
    <t xml:space="preserve">Arjun Green</t>
  </si>
  <si>
    <t xml:space="preserve">arjun.green@example.com</t>
  </si>
  <si>
    <t xml:space="preserve">E1023</t>
  </si>
  <si>
    <t xml:space="preserve">Wiremu Harris</t>
  </si>
  <si>
    <t xml:space="preserve">wiremu.harris@example.com</t>
  </si>
  <si>
    <t xml:space="preserve">E1024</t>
  </si>
  <si>
    <t xml:space="preserve">Ruby Taylor</t>
  </si>
  <si>
    <t xml:space="preserve">ruby.taylor@example.com</t>
  </si>
  <si>
    <t xml:space="preserve">E1025</t>
  </si>
  <si>
    <t xml:space="preserve">Lucas Turner</t>
  </si>
  <si>
    <t xml:space="preserve">lucas.turner@example.com</t>
  </si>
  <si>
    <t xml:space="preserve">E1026</t>
  </si>
  <si>
    <t xml:space="preserve">Oscar Harris</t>
  </si>
  <si>
    <t xml:space="preserve">oscar.harris@example.com</t>
  </si>
  <si>
    <t xml:space="preserve">E1027</t>
  </si>
  <si>
    <t xml:space="preserve">Oscar Scott</t>
  </si>
  <si>
    <t xml:space="preserve">oscar.scott@example.com</t>
  </si>
  <si>
    <t xml:space="preserve">E1028</t>
  </si>
  <si>
    <t xml:space="preserve">Hannah Scott</t>
  </si>
  <si>
    <t xml:space="preserve">hannah.scott@example.com</t>
  </si>
  <si>
    <t xml:space="preserve">E1029</t>
  </si>
  <si>
    <t xml:space="preserve">Priya Harris</t>
  </si>
  <si>
    <t xml:space="preserve">priya.harris@example.com</t>
  </si>
  <si>
    <t xml:space="preserve">E1030</t>
  </si>
  <si>
    <t xml:space="preserve">Ethan Kelly</t>
  </si>
  <si>
    <t xml:space="preserve">ethan.kelly@example.com</t>
  </si>
  <si>
    <t xml:space="preserve">E1031</t>
  </si>
  <si>
    <t xml:space="preserve">Sam Green</t>
  </si>
  <si>
    <t xml:space="preserve">sam.green@example.com</t>
  </si>
  <si>
    <t xml:space="preserve">E1032</t>
  </si>
  <si>
    <t xml:space="preserve">Ethan Clarke</t>
  </si>
  <si>
    <t xml:space="preserve">ethan.clarke@example.com</t>
  </si>
  <si>
    <t xml:space="preserve">E1033</t>
  </si>
  <si>
    <t xml:space="preserve">Ethan Ward</t>
  </si>
  <si>
    <t xml:space="preserve">ethan.ward@example.com</t>
  </si>
  <si>
    <t xml:space="preserve">E1034</t>
  </si>
  <si>
    <t xml:space="preserve">Leo Murphy</t>
  </si>
  <si>
    <t xml:space="preserve">E1035</t>
  </si>
  <si>
    <t xml:space="preserve">E1036</t>
  </si>
  <si>
    <t xml:space="preserve">Olivia Singh</t>
  </si>
  <si>
    <t xml:space="preserve">olivia.singh@example.com</t>
  </si>
  <si>
    <t xml:space="preserve">E1037</t>
  </si>
  <si>
    <t xml:space="preserve">Mia Brown</t>
  </si>
  <si>
    <t xml:space="preserve">mia.brown@example.com</t>
  </si>
  <si>
    <t xml:space="preserve">E1038</t>
  </si>
  <si>
    <t xml:space="preserve">Liam Green</t>
  </si>
  <si>
    <t xml:space="preserve">liam.green@example.com</t>
  </si>
  <si>
    <t xml:space="preserve">E1039</t>
  </si>
  <si>
    <t xml:space="preserve">Sophie Nguyen</t>
  </si>
  <si>
    <t xml:space="preserve">sophie.nguyen@example.com</t>
  </si>
  <si>
    <t xml:space="preserve">E1040</t>
  </si>
  <si>
    <t xml:space="preserve">Ethan Hall</t>
  </si>
  <si>
    <t xml:space="preserve">ethan.hall@example.com</t>
  </si>
  <si>
    <t xml:space="preserve">E1041</t>
  </si>
  <si>
    <t xml:space="preserve">Grace Brown</t>
  </si>
  <si>
    <t xml:space="preserve">grace.brown@example.com</t>
  </si>
  <si>
    <t xml:space="preserve">E1042</t>
  </si>
  <si>
    <t xml:space="preserve">Grace King</t>
  </si>
  <si>
    <t xml:space="preserve">TL4</t>
  </si>
  <si>
    <t xml:space="preserve">grace.king@example.com</t>
  </si>
  <si>
    <t xml:space="preserve">E1043</t>
  </si>
  <si>
    <t xml:space="preserve">Aroha Anderson</t>
  </si>
  <si>
    <t xml:space="preserve">aroha.anderson@example.com</t>
  </si>
  <si>
    <t xml:space="preserve">E1044</t>
  </si>
  <si>
    <t xml:space="preserve">Henry Nguyen</t>
  </si>
  <si>
    <t xml:space="preserve">henry.nguyen@example.com</t>
  </si>
  <si>
    <t xml:space="preserve">E1045</t>
  </si>
  <si>
    <t xml:space="preserve">E1046</t>
  </si>
  <si>
    <t xml:space="preserve">Arjun Murphy</t>
  </si>
  <si>
    <t xml:space="preserve">arjun.murphy@example.com</t>
  </si>
  <si>
    <t xml:space="preserve">E1047</t>
  </si>
  <si>
    <t xml:space="preserve">Henry Thomas</t>
  </si>
  <si>
    <t xml:space="preserve">henry.thomas@example.com</t>
  </si>
  <si>
    <t xml:space="preserve">E1048</t>
  </si>
  <si>
    <t xml:space="preserve">Ella Scott</t>
  </si>
  <si>
    <t xml:space="preserve">ella.scott@example.com</t>
  </si>
  <si>
    <t xml:space="preserve">E1049</t>
  </si>
  <si>
    <t xml:space="preserve">Sophie Reid</t>
  </si>
  <si>
    <t xml:space="preserve">sophie.reid@example.com</t>
  </si>
  <si>
    <t xml:space="preserve">E1050</t>
  </si>
  <si>
    <t xml:space="preserve">Mereana Kelly</t>
  </si>
  <si>
    <t xml:space="preserve">mereana.kelly@example.com</t>
  </si>
  <si>
    <t xml:space="preserve">E1051</t>
  </si>
  <si>
    <t xml:space="preserve">Lucas Wright</t>
  </si>
  <si>
    <t xml:space="preserve">lucas.wright@example.com</t>
  </si>
  <si>
    <t xml:space="preserve">E1052</t>
  </si>
  <si>
    <t xml:space="preserve">Liam Reid</t>
  </si>
  <si>
    <t xml:space="preserve">liam.reid@example.com</t>
  </si>
  <si>
    <t xml:space="preserve">E1053</t>
  </si>
  <si>
    <t xml:space="preserve">Wiremu Baker</t>
  </si>
  <si>
    <t xml:space="preserve">wiremu.baker@example.com</t>
  </si>
  <si>
    <t xml:space="preserve">E1054</t>
  </si>
  <si>
    <t xml:space="preserve">Ruby Patel</t>
  </si>
  <si>
    <t xml:space="preserve">ruby.patel@example.com</t>
  </si>
  <si>
    <t xml:space="preserve">E1055</t>
  </si>
  <si>
    <t xml:space="preserve">Lucas Anderson</t>
  </si>
  <si>
    <t xml:space="preserve">lucas.anderson@example.com</t>
  </si>
  <si>
    <t xml:space="preserve">E1056</t>
  </si>
  <si>
    <t xml:space="preserve">Grace Hall</t>
  </si>
  <si>
    <t xml:space="preserve">grace.hall@example.com</t>
  </si>
  <si>
    <t xml:space="preserve">E1057</t>
  </si>
  <si>
    <t xml:space="preserve">Sam Lee</t>
  </si>
  <si>
    <t xml:space="preserve">sam.lee@example.com</t>
  </si>
  <si>
    <t xml:space="preserve">E1058</t>
  </si>
  <si>
    <t xml:space="preserve">Grace Taylor</t>
  </si>
  <si>
    <t xml:space="preserve">grace.taylor@example.com</t>
  </si>
  <si>
    <t xml:space="preserve">E1059</t>
  </si>
  <si>
    <t xml:space="preserve">Noah Reid</t>
  </si>
  <si>
    <t xml:space="preserve">noah.reid@example.com</t>
  </si>
  <si>
    <t xml:space="preserve">E1060</t>
  </si>
  <si>
    <t xml:space="preserve">Aroha Patel</t>
  </si>
  <si>
    <t xml:space="preserve">aroha.patel@example.com</t>
  </si>
  <si>
    <t xml:space="preserve">WFM_Import - what actually landed in the new system (synthetic)</t>
  </si>
  <si>
    <t xml:space="preserve">Post-load extract from the new Workforce Management system, with migration defects for reconciliation.</t>
  </si>
  <si>
    <t xml:space="preserve">Orphan check (in WFM, not in legacy?)</t>
  </si>
  <si>
    <t xml:space="preserve">E2001</t>
  </si>
  <si>
    <t xml:space="preserve">Mia Taylor</t>
  </si>
  <si>
    <t xml:space="preserve">mia.taylor</t>
  </si>
  <si>
    <t xml:space="preserve">E2002</t>
  </si>
  <si>
    <t xml:space="preserve">Liam Wilson</t>
  </si>
  <si>
    <t xml:space="preserve">liam.wilson</t>
  </si>
  <si>
    <t xml:space="preserve">E2003</t>
  </si>
  <si>
    <t xml:space="preserve">Mereana Hall</t>
  </si>
  <si>
    <t xml:space="preserve">mereana.hall</t>
  </si>
  <si>
    <t xml:space="preserve">Validation - pre-migration data quality rules</t>
  </si>
  <si>
    <t xml:space="preserve">Each rule is a formula against Legacy_Employees; thresholds come from Config. Fix source data BEFORE loading.</t>
  </si>
  <si>
    <t xml:space="preserve">Duplicate ID</t>
  </si>
  <si>
    <t xml:space="preserve">Email present/valid</t>
  </si>
  <si>
    <t xml:space="preserve">Award code valid</t>
  </si>
  <si>
    <t xml:space="preserve">Rate in range</t>
  </si>
  <si>
    <t xml:space="preserve">Start date valid</t>
  </si>
  <si>
    <t xml:space="preserve">Overall</t>
  </si>
  <si>
    <t xml:space="preserve">Recon - legacy vs new WFM field-level reconciliation</t>
  </si>
  <si>
    <t xml:space="preserve">One row per legacy record. Lookups use INDEX/MATCH on Employee ID into WFM_Import.</t>
  </si>
  <si>
    <t xml:space="preserve">Region (legacy)</t>
  </si>
  <si>
    <t xml:space="preserve">In WFM?</t>
  </si>
  <si>
    <t xml:space="preserve">Rate check</t>
  </si>
  <si>
    <t xml:space="preserve">Award check</t>
  </si>
  <si>
    <t xml:space="preserve">Region check</t>
  </si>
  <si>
    <t xml:space="preserve">Start date check</t>
  </si>
  <si>
    <t xml:space="preserve">UAT - test cases and execution log</t>
  </si>
  <si>
    <t xml:space="preserve">Execution results are SIMULATED for the portfolio. Change Status via dropdown; Dashboard updates.</t>
  </si>
  <si>
    <t xml:space="preserve">Test ID</t>
  </si>
  <si>
    <t xml:space="preserve">Steps</t>
  </si>
  <si>
    <t xml:space="preserve">Expected result</t>
  </si>
  <si>
    <t xml:space="preserve">Defect ref</t>
  </si>
  <si>
    <t xml:space="preserve">T01</t>
  </si>
  <si>
    <t xml:space="preserve">Mobile clock-in inside depot geofence</t>
  </si>
  <si>
    <t xml:space="preserve">1. Open app 2. Tap Clock In at depot</t>
  </si>
  <si>
    <t xml:space="preserve">Clock-in recorded with GPS, status Active</t>
  </si>
  <si>
    <t xml:space="preserve">T02</t>
  </si>
  <si>
    <t xml:space="preserve">Clock-in outside geofence</t>
  </si>
  <si>
    <t xml:space="preserve">1. Move 2km from depot 2. Tap Clock In</t>
  </si>
  <si>
    <t xml:space="preserve">Warning shown, entry flagged for approval</t>
  </si>
  <si>
    <t xml:space="preserve">T03</t>
  </si>
  <si>
    <t xml:space="preserve">Roster skills match</t>
  </si>
  <si>
    <t xml:space="preserve">1. Build roster for job needing licensed technician</t>
  </si>
  <si>
    <t xml:space="preserve">Only qualified staff offered</t>
  </si>
  <si>
    <t xml:space="preserve">T04</t>
  </si>
  <si>
    <t xml:space="preserve">Overtime beyond 7.6 hrs</t>
  </si>
  <si>
    <t xml:space="preserve">1. Submit 10.5 hr shift for FS-L2</t>
  </si>
  <si>
    <t xml:space="preserve">2.9 OT hrs @1.5x (worked example on Config sheet)</t>
  </si>
  <si>
    <t xml:space="preserve">T05</t>
  </si>
  <si>
    <t xml:space="preserve">Weekend penalty rate TL-L4</t>
  </si>
  <si>
    <t xml:space="preserve">1. Submit Saturday shift for TL-L4</t>
  </si>
  <si>
    <t xml:space="preserve">Rate x1.75 applied</t>
  </si>
  <si>
    <t xml:space="preserve">DEF-004</t>
  </si>
  <si>
    <t xml:space="preserve">T06</t>
  </si>
  <si>
    <t xml:space="preserve">Leave request approval</t>
  </si>
  <si>
    <t xml:space="preserve">1. Employee requests 2 days 2. Leader approves</t>
  </si>
  <si>
    <t xml:space="preserve">Balance reduced, roster updated</t>
  </si>
  <si>
    <t xml:space="preserve">T07</t>
  </si>
  <si>
    <t xml:space="preserve">Dispatch nearest qualified crew</t>
  </si>
  <si>
    <t xml:space="preserve">1. Create urgent job in QLD</t>
  </si>
  <si>
    <t xml:space="preserve">Nearest qualified crew suggested</t>
  </si>
  <si>
    <t xml:space="preserve">T08</t>
  </si>
  <si>
    <t xml:space="preserve">Dispatch with no crew available</t>
  </si>
  <si>
    <t xml:space="preserve">1. Create job outside coverage</t>
  </si>
  <si>
    <t xml:space="preserve">Escalation alert raised</t>
  </si>
  <si>
    <t xml:space="preserve">DEF-007</t>
  </si>
  <si>
    <t xml:space="preserve">T09</t>
  </si>
  <si>
    <t xml:space="preserve">Migrated record count matches</t>
  </si>
  <si>
    <t xml:space="preserve">1. Compare Recon summary</t>
  </si>
  <si>
    <t xml:space="preserve">100% of legacy IDs in WFM</t>
  </si>
  <si>
    <t xml:space="preserve">DEF-001</t>
  </si>
  <si>
    <t xml:space="preserve">T10</t>
  </si>
  <si>
    <t xml:space="preserve">Rates and award codes match</t>
  </si>
  <si>
    <t xml:space="preserve">1. Review Recon mismatches</t>
  </si>
  <si>
    <t xml:space="preserve">Zero field mismatches</t>
  </si>
  <si>
    <t xml:space="preserve">DEF-002</t>
  </si>
  <si>
    <t xml:space="preserve">T11</t>
  </si>
  <si>
    <t xml:space="preserve">Timesheet approval before cut-off</t>
  </si>
  <si>
    <t xml:space="preserve">1. Leader approves queue</t>
  </si>
  <si>
    <t xml:space="preserve">Approved hours locked</t>
  </si>
  <si>
    <t xml:space="preserve">T12</t>
  </si>
  <si>
    <t xml:space="preserve">Payroll export file format</t>
  </si>
  <si>
    <t xml:space="preserve">1. Run export 2. Validate against spec</t>
  </si>
  <si>
    <t xml:space="preserve">File passes payroll validation</t>
  </si>
  <si>
    <t xml:space="preserve">T13</t>
  </si>
  <si>
    <t xml:space="preserve">NZ public holiday pay</t>
  </si>
  <si>
    <t xml:space="preserve">1. Submit NZ shift on public holiday</t>
  </si>
  <si>
    <t xml:space="preserve">NZ holiday rule applied</t>
  </si>
  <si>
    <t xml:space="preserve">T14</t>
  </si>
  <si>
    <t xml:space="preserve">Labour cost report totals</t>
  </si>
  <si>
    <t xml:space="preserve">1. Run weekly report 2. Compare to Excel</t>
  </si>
  <si>
    <t xml:space="preserve">Totals agree to the cent</t>
  </si>
  <si>
    <t xml:space="preserve">T15</t>
  </si>
  <si>
    <t xml:space="preserve">Employee cannot approve own timesheet</t>
  </si>
  <si>
    <t xml:space="preserve">1. Login as team leader 2. Approve own</t>
  </si>
  <si>
    <t xml:space="preserve">Action blocked</t>
  </si>
  <si>
    <t xml:space="preserve">T16</t>
  </si>
  <si>
    <t xml:space="preserve">Audit trail on edit</t>
  </si>
  <si>
    <t xml:space="preserve">1. Edit hours 2. Open audit log</t>
  </si>
  <si>
    <t xml:space="preserve">Who/when/old/new value logged</t>
  </si>
  <si>
    <t xml:space="preserve">T17</t>
  </si>
  <si>
    <t xml:space="preserve">Roster publish performance</t>
  </si>
  <si>
    <t xml:space="preserve">1. Publish 2,300-person roster</t>
  </si>
  <si>
    <t xml:space="preserve">Completes &lt; 60 seconds</t>
  </si>
  <si>
    <t xml:space="preserve">GoLive_Training - cutover checklist and training materials plan</t>
  </si>
  <si>
    <t xml:space="preserve">Cutover task</t>
  </si>
  <si>
    <t xml:space="preserve">When</t>
  </si>
  <si>
    <t xml:space="preserve">Freeze legacy data changes</t>
  </si>
  <si>
    <t xml:space="preserve">T-5 days</t>
  </si>
  <si>
    <t xml:space="preserve">Done</t>
  </si>
  <si>
    <t xml:space="preserve">Run final extract and Validation checks</t>
  </si>
  <si>
    <t xml:space="preserve">BA</t>
  </si>
  <si>
    <t xml:space="preserve">T-4 days</t>
  </si>
  <si>
    <t xml:space="preserve">Load to WFM and run Recon</t>
  </si>
  <si>
    <t xml:space="preserve">BA / Vendor</t>
  </si>
  <si>
    <t xml:space="preserve">T-3 days</t>
  </si>
  <si>
    <t xml:space="preserve">In progress</t>
  </si>
  <si>
    <t xml:space="preserve">Resolve Recon mismatches (zero critical)</t>
  </si>
  <si>
    <t xml:space="preserve">T-2 days</t>
  </si>
  <si>
    <t xml:space="preserve">Not started</t>
  </si>
  <si>
    <t xml:space="preserve">Go/No-go meeting</t>
  </si>
  <si>
    <t xml:space="preserve">T-1 day</t>
  </si>
  <si>
    <t xml:space="preserve">Go live and hypercare begins</t>
  </si>
  <si>
    <t xml:space="preserve">All</t>
  </si>
  <si>
    <t xml:space="preserve">T-0</t>
  </si>
  <si>
    <t xml:space="preserve">Audience</t>
  </si>
  <si>
    <t xml:space="preserve">Training material</t>
  </si>
  <si>
    <t xml:space="preserve">Format</t>
  </si>
  <si>
    <t xml:space="preserve">Mobile clock-in/out quick card</t>
  </si>
  <si>
    <t xml:space="preserve">1-page PDF</t>
  </si>
  <si>
    <t xml:space="preserve">Approve timesheets and exceptions guide</t>
  </si>
  <si>
    <t xml:space="preserve">6-page guide</t>
  </si>
  <si>
    <t xml:space="preserve">Rostering and leave user guide</t>
  </si>
  <si>
    <t xml:space="preserve">10-page guide</t>
  </si>
  <si>
    <t xml:space="preserve">Award rules and export runbook</t>
  </si>
  <si>
    <t xml:space="preserve">8-page guide</t>
  </si>
  <si>
    <t xml:space="preserve">Trainers</t>
  </si>
  <si>
    <t xml:space="preserve">Train-the-trainer deck and demo script</t>
  </si>
  <si>
    <t xml:space="preserve">Slides</t>
  </si>
  <si>
    <t xml:space="preserve">Resume_Uplift - map each SkillSyncer gap to project evidence</t>
  </si>
  <si>
    <t xml:space="preserve">Only use a bullet once you have actually built/done that part. Project is labelled self-directed, matching your existing resume style.</t>
  </si>
  <si>
    <t xml:space="preserve">SkillSyncer gap keywords</t>
  </si>
  <si>
    <t xml:space="preserve">Project evidence</t>
  </si>
  <si>
    <t xml:space="preserve">Suggested resume bullet (edit to match what you did)</t>
  </si>
  <si>
    <t xml:space="preserve">Data Migration, Migration, Reconciliation</t>
  </si>
  <si>
    <t xml:space="preserve">WFM_Import + Recon sheets</t>
  </si>
  <si>
    <t xml:space="preserve">Designed legacy-to-WFM data migration reconciliation across 60+ records, identifying 4 missing records, 5 rate and 3 award mismatches via INDEX/MATCH checks.</t>
  </si>
  <si>
    <t xml:space="preserve">Data Validation, Pivot Tables, Reporting Requirements</t>
  </si>
  <si>
    <t xml:space="preserve">Validation sheet + Dashboard summary tables</t>
  </si>
  <si>
    <t xml:space="preserve">Built pre-migration validation rules (duplicates, invalid codes, out-of-range rates) and pivot-style summaries, giving a go/no-go view of data quality.</t>
  </si>
  <si>
    <t xml:space="preserve">Requirements Gathering, System Requirements, Stakeholder Engagement</t>
  </si>
  <si>
    <t xml:space="preserve">Requirements (RTM)</t>
  </si>
  <si>
    <t xml:space="preserve">Documented 15 prioritised (MoSCoW) requirements across 11 stakeholder groups with traceability to test cases and coverage gap checks.</t>
  </si>
  <si>
    <t xml:space="preserve">Process Mapping (current/future state)</t>
  </si>
  <si>
    <t xml:space="preserve">Process_Map</t>
  </si>
  <si>
    <t xml:space="preserve">Mapped current vs future state timesheet-to-pay process, linking 7 pain points to system requirements.</t>
  </si>
  <si>
    <t xml:space="preserve">System Configuration, Support System</t>
  </si>
  <si>
    <t xml:space="preserve">Config sheet</t>
  </si>
  <si>
    <t xml:space="preserve">Defined award-based pay rule configuration (rates, overtime, weekend multipliers) and validated with a worked overtime test.</t>
  </si>
  <si>
    <t xml:space="preserve">Testing, Performance Testing</t>
  </si>
  <si>
    <t xml:space="preserve">Authored 17 UAT cases traced to requirements, logged defects and tracked pass rate (incl. performance test for 2,300 users).</t>
  </si>
  <si>
    <t xml:space="preserve">Training Materials, System Implementation, Launch</t>
  </si>
  <si>
    <t xml:space="preserve">GoLive_Training</t>
  </si>
  <si>
    <t xml:space="preserve">Planned cutover checklist and role-based training materials for go-live and hypercare.</t>
  </si>
  <si>
    <t xml:space="preserve">Agile / waterfall</t>
  </si>
  <si>
    <t xml:space="preserve">Add yourself</t>
  </si>
  <si>
    <t xml:space="preserve">Add a line on Agile ways of working from your Deakin work or internship (e.g. sprint-style backlog, stand-ups) only if true.</t>
  </si>
  <si>
    <t xml:space="preserve">Communication, Confidence</t>
  </si>
  <si>
    <t xml:space="preserve">Summary</t>
  </si>
  <si>
    <t xml:space="preserve">Rework summary to lead with 'stakeholder communication' and system implementation.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</si>
</sst>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\$#,##0.00"/>
    <numFmt numFmtId="168" formatCode="dd\-mmm\-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C3A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5C3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C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48" hidden="false" customHeight="true" outlineLevel="0" collapsed="false">
      <c r="A8" s="3" t="s">
        <v>10</v>
      </c>
      <c r="B8" s="4" t="s">
        <v>11</v>
      </c>
    </row>
    <row r="9" customFormat="false" ht="48" hidden="false" customHeight="true" outlineLevel="0" collapsed="false">
      <c r="A9" s="3" t="s">
        <v>12</v>
      </c>
      <c r="B9" s="4" t="s">
        <v>13</v>
      </c>
    </row>
    <row r="10" customFormat="false" ht="48" hidden="false" customHeight="true" outlineLevel="0" collapsed="false">
      <c r="A10" s="3" t="s">
        <v>14</v>
      </c>
      <c r="B1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</cols>
  <sheetData>
    <row r="1" customFormat="false" ht="19.7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5" t="s">
        <v>18</v>
      </c>
      <c r="B4" s="6"/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</row>
    <row r="5" customFormat="false" ht="15" hidden="false" customHeight="false" outlineLevel="0" collapsed="false">
      <c r="A5" s="8" t="s">
        <v>25</v>
      </c>
      <c r="B5" s="9" t="n">
        <f aca="false">COUNTA(Legacy_Employees!A5:A66)</f>
        <v>62</v>
      </c>
      <c r="D5" s="9" t="s">
        <v>26</v>
      </c>
      <c r="E5" s="9" t="n">
        <f aca="false">COUNTIF(Recon!$B$5:$B$66,D5)</f>
        <v>14</v>
      </c>
      <c r="F5" s="9" t="n">
        <f aca="false">COUNTIFS(Recon!$B$5:$B$66,$D5,Recon!$H$5:$H$66,"Match")</f>
        <v>9</v>
      </c>
      <c r="G5" s="9" t="n">
        <f aca="false">COUNTIFS(Recon!$B$5:$B$66,$D5,Recon!$H$5:$H$66,"Mismatch")</f>
        <v>4</v>
      </c>
      <c r="H5" s="9" t="n">
        <f aca="false">COUNTIFS(Recon!$B$5:$B$66,$D5,Recon!$H$5:$H$66,"Missing")</f>
        <v>1</v>
      </c>
      <c r="I5" s="10" t="n">
        <f aca="false">IF(E5=0,0,F5/E5)</f>
        <v>0.642857142857143</v>
      </c>
    </row>
    <row r="6" customFormat="false" ht="15" hidden="false" customHeight="false" outlineLevel="0" collapsed="false">
      <c r="A6" s="8" t="s">
        <v>27</v>
      </c>
      <c r="B6" s="9" t="n">
        <f aca="false">COUNTA(WFM_Import!A5:A63)</f>
        <v>59</v>
      </c>
      <c r="D6" s="9" t="s">
        <v>28</v>
      </c>
      <c r="E6" s="9" t="n">
        <f aca="false">COUNTIF(Recon!$B$5:$B$66,D6)</f>
        <v>17</v>
      </c>
      <c r="F6" s="9" t="n">
        <f aca="false">COUNTIFS(Recon!$B$5:$B$66,$D6,Recon!$H$5:$H$66,"Match")</f>
        <v>12</v>
      </c>
      <c r="G6" s="9" t="n">
        <f aca="false">COUNTIFS(Recon!$B$5:$B$66,$D6,Recon!$H$5:$H$66,"Mismatch")</f>
        <v>2</v>
      </c>
      <c r="H6" s="9" t="n">
        <f aca="false">COUNTIFS(Recon!$B$5:$B$66,$D6,Recon!$H$5:$H$66,"Missing")</f>
        <v>3</v>
      </c>
      <c r="I6" s="10" t="n">
        <f aca="false">IF(E6=0,0,F6/E6)</f>
        <v>0.705882352941177</v>
      </c>
    </row>
    <row r="7" customFormat="false" ht="15" hidden="false" customHeight="false" outlineLevel="0" collapsed="false">
      <c r="A7" s="8" t="s">
        <v>21</v>
      </c>
      <c r="B7" s="9" t="n">
        <f aca="false">COUNTIF(Recon!H5:H66,"Match")</f>
        <v>48</v>
      </c>
      <c r="D7" s="9" t="s">
        <v>29</v>
      </c>
      <c r="E7" s="9" t="n">
        <f aca="false">COUNTIF(Recon!$B$5:$B$66,D7)</f>
        <v>16</v>
      </c>
      <c r="F7" s="9" t="n">
        <f aca="false">COUNTIFS(Recon!$B$5:$B$66,$D7,Recon!$H$5:$H$66,"Match")</f>
        <v>14</v>
      </c>
      <c r="G7" s="9" t="n">
        <f aca="false">COUNTIFS(Recon!$B$5:$B$66,$D7,Recon!$H$5:$H$66,"Mismatch")</f>
        <v>2</v>
      </c>
      <c r="H7" s="9" t="n">
        <f aca="false">COUNTIFS(Recon!$B$5:$B$66,$D7,Recon!$H$5:$H$66,"Missing")</f>
        <v>0</v>
      </c>
      <c r="I7" s="10" t="n">
        <f aca="false">IF(E7=0,0,F7/E7)</f>
        <v>0.875</v>
      </c>
    </row>
    <row r="8" customFormat="false" ht="15" hidden="false" customHeight="false" outlineLevel="0" collapsed="false">
      <c r="A8" s="8" t="s">
        <v>30</v>
      </c>
      <c r="B8" s="9" t="n">
        <f aca="false">COUNTIF(Recon!H5:H66,"Mismatch")</f>
        <v>10</v>
      </c>
      <c r="D8" s="9" t="s">
        <v>31</v>
      </c>
      <c r="E8" s="9" t="n">
        <f aca="false">COUNTIF(Recon!$B$5:$B$66,D8)</f>
        <v>15</v>
      </c>
      <c r="F8" s="9" t="n">
        <f aca="false">COUNTIFS(Recon!$B$5:$B$66,$D8,Recon!$H$5:$H$66,"Match")</f>
        <v>13</v>
      </c>
      <c r="G8" s="9" t="n">
        <f aca="false">COUNTIFS(Recon!$B$5:$B$66,$D8,Recon!$H$5:$H$66,"Mismatch")</f>
        <v>2</v>
      </c>
      <c r="H8" s="9" t="n">
        <f aca="false">COUNTIFS(Recon!$B$5:$B$66,$D8,Recon!$H$5:$H$66,"Missing")</f>
        <v>0</v>
      </c>
      <c r="I8" s="10" t="n">
        <f aca="false">IF(E8=0,0,F8/E8)</f>
        <v>0.866666666666667</v>
      </c>
    </row>
    <row r="9" customFormat="false" ht="15" hidden="false" customHeight="false" outlineLevel="0" collapsed="false">
      <c r="A9" s="8" t="s">
        <v>32</v>
      </c>
      <c r="B9" s="9" t="n">
        <f aca="false">COUNTIF(Recon!H5:H66,"Missing")</f>
        <v>4</v>
      </c>
      <c r="D9" s="11" t="s">
        <v>33</v>
      </c>
      <c r="E9" s="11" t="n">
        <f aca="false">SUM(E5:E8)</f>
        <v>62</v>
      </c>
      <c r="F9" s="11" t="n">
        <f aca="false">SUM(F5:F8)</f>
        <v>48</v>
      </c>
      <c r="G9" s="11" t="n">
        <f aca="false">SUM(G5:G8)</f>
        <v>10</v>
      </c>
      <c r="H9" s="11" t="n">
        <f aca="false">SUM(H5:H8)</f>
        <v>4</v>
      </c>
      <c r="I9" s="12" t="n">
        <f aca="false">IF(E9=0,0,F9/E9)</f>
        <v>0.774193548387097</v>
      </c>
    </row>
    <row r="10" customFormat="false" ht="15" hidden="false" customHeight="false" outlineLevel="0" collapsed="false">
      <c r="A10" s="8" t="s">
        <v>34</v>
      </c>
      <c r="B10" s="9" t="n">
        <f aca="false">COUNTIF(WFM_Import!I5:I63,"Orphan")</f>
        <v>3</v>
      </c>
    </row>
    <row r="11" customFormat="false" ht="15" hidden="false" customHeight="false" outlineLevel="0" collapsed="false">
      <c r="A11" s="13" t="s">
        <v>35</v>
      </c>
      <c r="B11" s="12" t="n">
        <f aca="false">IF(B5=0,0,B7/B5)</f>
        <v>0.774193548387097</v>
      </c>
      <c r="D11" s="2" t="s">
        <v>36</v>
      </c>
    </row>
    <row r="13" customFormat="false" ht="15" hidden="false" customHeight="false" outlineLevel="0" collapsed="false">
      <c r="A13" s="5" t="s">
        <v>37</v>
      </c>
      <c r="B13" s="6"/>
    </row>
    <row r="14" customFormat="false" ht="15" hidden="false" customHeight="false" outlineLevel="0" collapsed="false">
      <c r="A14" s="8" t="s">
        <v>38</v>
      </c>
      <c r="B14" s="9" t="n">
        <f aca="false">COUNTIF(Validation!G5:G66,"Fail")</f>
        <v>12</v>
      </c>
    </row>
    <row r="15" customFormat="false" ht="15" hidden="false" customHeight="false" outlineLevel="0" collapsed="false">
      <c r="A15" s="8" t="s">
        <v>39</v>
      </c>
      <c r="B15" s="9" t="n">
        <f aca="false">COUNTIF(Validation!B5:B66,"Duplicate")</f>
        <v>4</v>
      </c>
    </row>
    <row r="16" customFormat="false" ht="15" hidden="false" customHeight="false" outlineLevel="0" collapsed="false">
      <c r="A16" s="8" t="s">
        <v>40</v>
      </c>
      <c r="B16" s="9" t="n">
        <f aca="false">COUNTIF(Validation!C5:C66,"Missing/invalid")</f>
        <v>3</v>
      </c>
    </row>
    <row r="17" customFormat="false" ht="15" hidden="false" customHeight="false" outlineLevel="0" collapsed="false">
      <c r="A17" s="8" t="s">
        <v>41</v>
      </c>
      <c r="B17" s="9" t="n">
        <f aca="false">COUNTIF(Validation!D5:D66,"Invalid code")</f>
        <v>2</v>
      </c>
    </row>
    <row r="18" customFormat="false" ht="15" hidden="false" customHeight="false" outlineLevel="0" collapsed="false">
      <c r="A18" s="8" t="s">
        <v>42</v>
      </c>
      <c r="B18" s="9" t="n">
        <f aca="false">COUNTIF(Validation!E5:E66,"Out of range")</f>
        <v>2</v>
      </c>
    </row>
    <row r="19" customFormat="false" ht="15" hidden="false" customHeight="false" outlineLevel="0" collapsed="false">
      <c r="A19" s="8" t="s">
        <v>43</v>
      </c>
      <c r="B19" s="9" t="n">
        <f aca="false">COUNTIF(Validation!F5:F66,"Check date")</f>
        <v>1</v>
      </c>
    </row>
    <row r="21" customFormat="false" ht="15" hidden="false" customHeight="false" outlineLevel="0" collapsed="false">
      <c r="A21" s="5" t="s">
        <v>44</v>
      </c>
      <c r="B21" s="6"/>
    </row>
    <row r="22" customFormat="false" ht="15" hidden="false" customHeight="false" outlineLevel="0" collapsed="false">
      <c r="A22" s="8" t="s">
        <v>45</v>
      </c>
      <c r="B22" s="9" t="n">
        <f aca="false">COUNTA(UAT!A5:A40)</f>
        <v>17</v>
      </c>
    </row>
    <row r="23" customFormat="false" ht="15" hidden="false" customHeight="false" outlineLevel="0" collapsed="false">
      <c r="A23" s="8" t="s">
        <v>46</v>
      </c>
      <c r="B23" s="9" t="n">
        <f aca="false">COUNTIF(UAT!F5:F40,"Pass")</f>
        <v>11</v>
      </c>
    </row>
    <row r="24" customFormat="false" ht="15" hidden="false" customHeight="false" outlineLevel="0" collapsed="false">
      <c r="A24" s="8" t="s">
        <v>47</v>
      </c>
      <c r="B24" s="9" t="n">
        <f aca="false">COUNTIF(UAT!F5:F40,"Fail")</f>
        <v>3</v>
      </c>
    </row>
    <row r="25" customFormat="false" ht="15" hidden="false" customHeight="false" outlineLevel="0" collapsed="false">
      <c r="A25" s="8" t="s">
        <v>48</v>
      </c>
      <c r="B25" s="9" t="n">
        <f aca="false">COUNTIF(UAT!F5:F40,"Blocked")</f>
        <v>1</v>
      </c>
    </row>
    <row r="26" customFormat="false" ht="15" hidden="false" customHeight="false" outlineLevel="0" collapsed="false">
      <c r="A26" s="8" t="s">
        <v>49</v>
      </c>
      <c r="B26" s="9" t="n">
        <f aca="false">COUNTIF(UAT!F5:F40,"Not Run")</f>
        <v>2</v>
      </c>
    </row>
    <row r="27" customFormat="false" ht="15" hidden="false" customHeight="false" outlineLevel="0" collapsed="false">
      <c r="A27" s="13" t="s">
        <v>50</v>
      </c>
      <c r="B27" s="12" t="n">
        <f aca="false">IF(B22=0,0,B23/B22)</f>
        <v>0.647058823529412</v>
      </c>
    </row>
    <row r="29" customFormat="false" ht="15" hidden="false" customHeight="false" outlineLevel="0" collapsed="false">
      <c r="A29" s="5" t="s">
        <v>51</v>
      </c>
      <c r="B29" s="6"/>
    </row>
    <row r="30" customFormat="false" ht="15" hidden="false" customHeight="false" outlineLevel="0" collapsed="false">
      <c r="A30" s="8" t="s">
        <v>52</v>
      </c>
      <c r="B30" s="9" t="n">
        <f aca="false">COUNTA(Requirements!A5:A19)</f>
        <v>15</v>
      </c>
    </row>
    <row r="31" customFormat="false" ht="15" hidden="false" customHeight="false" outlineLevel="0" collapsed="false">
      <c r="A31" s="8" t="s">
        <v>53</v>
      </c>
      <c r="B31" s="9" t="n">
        <f aca="false">COUNTIF(Requirements!E5:E19,"Must")</f>
        <v>10</v>
      </c>
    </row>
    <row r="32" customFormat="false" ht="15" hidden="false" customHeight="false" outlineLevel="0" collapsed="false">
      <c r="A32" s="8" t="s">
        <v>54</v>
      </c>
      <c r="B32" s="9" t="n">
        <f aca="false">COUNTIF(Requirements!H5:H19,"GAP")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3"/>
  </cols>
  <sheetData>
    <row r="1" customFormat="false" ht="19.7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14" t="s">
        <v>57</v>
      </c>
      <c r="B4" s="14" t="s">
        <v>58</v>
      </c>
      <c r="C4" s="14" t="s">
        <v>59</v>
      </c>
      <c r="D4" s="14" t="s">
        <v>60</v>
      </c>
      <c r="E4" s="14" t="s">
        <v>61</v>
      </c>
      <c r="F4" s="14" t="s">
        <v>62</v>
      </c>
      <c r="G4" s="14" t="s">
        <v>63</v>
      </c>
      <c r="H4" s="14" t="s">
        <v>64</v>
      </c>
      <c r="I4" s="14" t="s">
        <v>65</v>
      </c>
    </row>
    <row r="5" customFormat="false" ht="15" hidden="false" customHeight="false" outlineLevel="0" collapsed="false">
      <c r="A5" s="15" t="s">
        <v>66</v>
      </c>
      <c r="B5" s="15" t="s">
        <v>67</v>
      </c>
      <c r="C5" s="15" t="s">
        <v>68</v>
      </c>
      <c r="D5" s="15" t="s">
        <v>69</v>
      </c>
      <c r="E5" s="15" t="s">
        <v>70</v>
      </c>
      <c r="F5" s="15" t="s">
        <v>71</v>
      </c>
      <c r="G5" s="15" t="n">
        <f aca="false">COUNTIF(UAT!$B$5:$B$40,A5)</f>
        <v>2</v>
      </c>
      <c r="H5" s="15" t="str">
        <f aca="false">IF(C5="Training","Via training plan",IF(G5&gt;0,"Covered","GAP"))</f>
        <v>Covered</v>
      </c>
      <c r="I5" s="15" t="s">
        <v>72</v>
      </c>
    </row>
    <row r="6" customFormat="false" ht="15" hidden="false" customHeight="false" outlineLevel="0" collapsed="false">
      <c r="A6" s="15" t="s">
        <v>73</v>
      </c>
      <c r="B6" s="15" t="s">
        <v>74</v>
      </c>
      <c r="C6" s="15" t="s">
        <v>68</v>
      </c>
      <c r="D6" s="15" t="s">
        <v>75</v>
      </c>
      <c r="E6" s="15" t="s">
        <v>70</v>
      </c>
      <c r="F6" s="15" t="s">
        <v>76</v>
      </c>
      <c r="G6" s="15" t="n">
        <f aca="false">COUNTIF(UAT!$B$5:$B$40,A6)</f>
        <v>1</v>
      </c>
      <c r="H6" s="15" t="str">
        <f aca="false">IF(C6="Training","Via training plan",IF(G6&gt;0,"Covered","GAP"))</f>
        <v>Covered</v>
      </c>
      <c r="I6" s="15" t="s">
        <v>72</v>
      </c>
    </row>
    <row r="7" customFormat="false" ht="15" hidden="false" customHeight="false" outlineLevel="0" collapsed="false">
      <c r="A7" s="15" t="s">
        <v>77</v>
      </c>
      <c r="B7" s="15" t="s">
        <v>78</v>
      </c>
      <c r="C7" s="15" t="s">
        <v>68</v>
      </c>
      <c r="D7" s="15" t="s">
        <v>79</v>
      </c>
      <c r="E7" s="15" t="s">
        <v>70</v>
      </c>
      <c r="F7" s="15" t="s">
        <v>80</v>
      </c>
      <c r="G7" s="15" t="n">
        <f aca="false">COUNTIF(UAT!$B$5:$B$40,A7)</f>
        <v>2</v>
      </c>
      <c r="H7" s="15" t="str">
        <f aca="false">IF(C7="Training","Via training plan",IF(G7&gt;0,"Covered","GAP"))</f>
        <v>Covered</v>
      </c>
      <c r="I7" s="15" t="s">
        <v>72</v>
      </c>
    </row>
    <row r="8" customFormat="false" ht="15" hidden="false" customHeight="false" outlineLevel="0" collapsed="false">
      <c r="A8" s="15" t="s">
        <v>81</v>
      </c>
      <c r="B8" s="15" t="s">
        <v>82</v>
      </c>
      <c r="C8" s="15" t="s">
        <v>68</v>
      </c>
      <c r="D8" s="15" t="s">
        <v>83</v>
      </c>
      <c r="E8" s="15" t="s">
        <v>84</v>
      </c>
      <c r="F8" s="15" t="s">
        <v>85</v>
      </c>
      <c r="G8" s="15" t="n">
        <f aca="false">COUNTIF(UAT!$B$5:$B$40,A8)</f>
        <v>1</v>
      </c>
      <c r="H8" s="15" t="str">
        <f aca="false">IF(C8="Training","Via training plan",IF(G8&gt;0,"Covered","GAP"))</f>
        <v>Covered</v>
      </c>
      <c r="I8" s="15" t="s">
        <v>72</v>
      </c>
    </row>
    <row r="9" customFormat="false" ht="15" hidden="false" customHeight="false" outlineLevel="0" collapsed="false">
      <c r="A9" s="15" t="s">
        <v>86</v>
      </c>
      <c r="B9" s="15" t="s">
        <v>87</v>
      </c>
      <c r="C9" s="15" t="s">
        <v>68</v>
      </c>
      <c r="D9" s="15" t="s">
        <v>69</v>
      </c>
      <c r="E9" s="15" t="s">
        <v>70</v>
      </c>
      <c r="F9" s="15" t="s">
        <v>88</v>
      </c>
      <c r="G9" s="15" t="n">
        <f aca="false">COUNTIF(UAT!$B$5:$B$40,A9)</f>
        <v>2</v>
      </c>
      <c r="H9" s="15" t="str">
        <f aca="false">IF(C9="Training","Via training plan",IF(G9&gt;0,"Covered","GAP"))</f>
        <v>Covered</v>
      </c>
      <c r="I9" s="15" t="s">
        <v>72</v>
      </c>
    </row>
    <row r="10" customFormat="false" ht="23.85" hidden="false" customHeight="false" outlineLevel="0" collapsed="false">
      <c r="A10" s="15" t="s">
        <v>89</v>
      </c>
      <c r="B10" s="15" t="s">
        <v>90</v>
      </c>
      <c r="C10" s="15" t="s">
        <v>91</v>
      </c>
      <c r="D10" s="15" t="s">
        <v>92</v>
      </c>
      <c r="E10" s="15" t="s">
        <v>70</v>
      </c>
      <c r="F10" s="15" t="s">
        <v>18</v>
      </c>
      <c r="G10" s="15" t="n">
        <f aca="false">COUNTIF(UAT!$B$5:$B$40,A10)</f>
        <v>2</v>
      </c>
      <c r="H10" s="15" t="str">
        <f aca="false">IF(C10="Training","Via training plan",IF(G10&gt;0,"Covered","GAP"))</f>
        <v>Covered</v>
      </c>
      <c r="I10" s="15" t="s">
        <v>72</v>
      </c>
    </row>
    <row r="11" customFormat="false" ht="15" hidden="false" customHeight="false" outlineLevel="0" collapsed="false">
      <c r="A11" s="15" t="s">
        <v>93</v>
      </c>
      <c r="B11" s="15" t="s">
        <v>94</v>
      </c>
      <c r="C11" s="15" t="s">
        <v>68</v>
      </c>
      <c r="D11" s="15" t="s">
        <v>79</v>
      </c>
      <c r="E11" s="15" t="s">
        <v>70</v>
      </c>
      <c r="F11" s="15" t="s">
        <v>71</v>
      </c>
      <c r="G11" s="15" t="n">
        <f aca="false">COUNTIF(UAT!$B$5:$B$40,A11)</f>
        <v>1</v>
      </c>
      <c r="H11" s="15" t="str">
        <f aca="false">IF(C11="Training","Via training plan",IF(G11&gt;0,"Covered","GAP"))</f>
        <v>Covered</v>
      </c>
      <c r="I11" s="15" t="s">
        <v>72</v>
      </c>
    </row>
    <row r="12" customFormat="false" ht="15" hidden="false" customHeight="false" outlineLevel="0" collapsed="false">
      <c r="A12" s="15" t="s">
        <v>95</v>
      </c>
      <c r="B12" s="15" t="s">
        <v>96</v>
      </c>
      <c r="C12" s="15" t="s">
        <v>97</v>
      </c>
      <c r="D12" s="15" t="s">
        <v>79</v>
      </c>
      <c r="E12" s="15" t="s">
        <v>70</v>
      </c>
      <c r="F12" s="15" t="s">
        <v>97</v>
      </c>
      <c r="G12" s="15" t="n">
        <f aca="false">COUNTIF(UAT!$B$5:$B$40,A12)</f>
        <v>1</v>
      </c>
      <c r="H12" s="15" t="str">
        <f aca="false">IF(C12="Training","Via training plan",IF(G12&gt;0,"Covered","GAP"))</f>
        <v>Covered</v>
      </c>
      <c r="I12" s="15" t="s">
        <v>72</v>
      </c>
    </row>
    <row r="13" customFormat="false" ht="15" hidden="false" customHeight="false" outlineLevel="0" collapsed="false">
      <c r="A13" s="15" t="s">
        <v>98</v>
      </c>
      <c r="B13" s="15" t="s">
        <v>99</v>
      </c>
      <c r="C13" s="15" t="s">
        <v>68</v>
      </c>
      <c r="D13" s="15" t="s">
        <v>100</v>
      </c>
      <c r="E13" s="15" t="s">
        <v>70</v>
      </c>
      <c r="F13" s="15" t="s">
        <v>80</v>
      </c>
      <c r="G13" s="15" t="n">
        <f aca="false">COUNTIF(UAT!$B$5:$B$40,A13)</f>
        <v>1</v>
      </c>
      <c r="H13" s="15" t="str">
        <f aca="false">IF(C13="Training","Via training plan",IF(G13&gt;0,"Covered","GAP"))</f>
        <v>Covered</v>
      </c>
      <c r="I13" s="15" t="s">
        <v>72</v>
      </c>
    </row>
    <row r="14" customFormat="false" ht="15" hidden="false" customHeight="false" outlineLevel="0" collapsed="false">
      <c r="A14" s="15" t="s">
        <v>101</v>
      </c>
      <c r="B14" s="15" t="s">
        <v>102</v>
      </c>
      <c r="C14" s="15" t="s">
        <v>103</v>
      </c>
      <c r="D14" s="15" t="s">
        <v>104</v>
      </c>
      <c r="E14" s="15" t="s">
        <v>84</v>
      </c>
      <c r="F14" s="15" t="s">
        <v>103</v>
      </c>
      <c r="G14" s="15" t="n">
        <f aca="false">COUNTIF(UAT!$B$5:$B$40,A14)</f>
        <v>1</v>
      </c>
      <c r="H14" s="15" t="str">
        <f aca="false">IF(C14="Training","Via training plan",IF(G14&gt;0,"Covered","GAP"))</f>
        <v>Covered</v>
      </c>
      <c r="I14" s="15" t="s">
        <v>72</v>
      </c>
    </row>
    <row r="15" customFormat="false" ht="15" hidden="false" customHeight="false" outlineLevel="0" collapsed="false">
      <c r="A15" s="15" t="s">
        <v>105</v>
      </c>
      <c r="B15" s="15" t="s">
        <v>106</v>
      </c>
      <c r="C15" s="15" t="s">
        <v>107</v>
      </c>
      <c r="D15" s="15" t="s">
        <v>108</v>
      </c>
      <c r="E15" s="15" t="s">
        <v>70</v>
      </c>
      <c r="F15" s="15" t="s">
        <v>109</v>
      </c>
      <c r="G15" s="15" t="n">
        <f aca="false">COUNTIF(UAT!$B$5:$B$40,A15)</f>
        <v>1</v>
      </c>
      <c r="H15" s="15" t="str">
        <f aca="false">IF(C15="Training","Via training plan",IF(G15&gt;0,"Covered","GAP"))</f>
        <v>Covered</v>
      </c>
      <c r="I15" s="15" t="s">
        <v>72</v>
      </c>
    </row>
    <row r="16" customFormat="false" ht="15" hidden="false" customHeight="false" outlineLevel="0" collapsed="false">
      <c r="A16" s="15" t="s">
        <v>110</v>
      </c>
      <c r="B16" s="15" t="s">
        <v>111</v>
      </c>
      <c r="C16" s="15" t="s">
        <v>107</v>
      </c>
      <c r="D16" s="15" t="s">
        <v>112</v>
      </c>
      <c r="E16" s="15" t="s">
        <v>84</v>
      </c>
      <c r="F16" s="15" t="s">
        <v>113</v>
      </c>
      <c r="G16" s="15" t="n">
        <f aca="false">COUNTIF(UAT!$B$5:$B$40,A16)</f>
        <v>1</v>
      </c>
      <c r="H16" s="15" t="str">
        <f aca="false">IF(C16="Training","Via training plan",IF(G16&gt;0,"Covered","GAP"))</f>
        <v>Covered</v>
      </c>
      <c r="I16" s="15" t="s">
        <v>72</v>
      </c>
    </row>
    <row r="17" customFormat="false" ht="15" hidden="false" customHeight="false" outlineLevel="0" collapsed="false">
      <c r="A17" s="15" t="s">
        <v>114</v>
      </c>
      <c r="B17" s="15" t="s">
        <v>115</v>
      </c>
      <c r="C17" s="15" t="s">
        <v>107</v>
      </c>
      <c r="D17" s="15" t="s">
        <v>116</v>
      </c>
      <c r="E17" s="15" t="s">
        <v>84</v>
      </c>
      <c r="F17" s="15" t="s">
        <v>117</v>
      </c>
      <c r="G17" s="15" t="n">
        <f aca="false">COUNTIF(UAT!$B$5:$B$40,A17)</f>
        <v>1</v>
      </c>
      <c r="H17" s="15" t="str">
        <f aca="false">IF(C17="Training","Via training plan",IF(G17&gt;0,"Covered","GAP"))</f>
        <v>Covered</v>
      </c>
      <c r="I17" s="15" t="s">
        <v>72</v>
      </c>
    </row>
    <row r="18" customFormat="false" ht="15" hidden="false" customHeight="false" outlineLevel="0" collapsed="false">
      <c r="A18" s="15" t="s">
        <v>118</v>
      </c>
      <c r="B18" s="15" t="s">
        <v>119</v>
      </c>
      <c r="C18" s="15" t="s">
        <v>120</v>
      </c>
      <c r="D18" s="15" t="s">
        <v>121</v>
      </c>
      <c r="E18" s="15" t="s">
        <v>70</v>
      </c>
      <c r="F18" s="15" t="s">
        <v>120</v>
      </c>
      <c r="G18" s="15" t="n">
        <f aca="false">COUNTIF(UAT!$B$5:$B$40,A18)</f>
        <v>0</v>
      </c>
      <c r="H18" s="15" t="str">
        <f aca="false">IF(C18="Training","Via training plan",IF(G18&gt;0,"Covered","GAP"))</f>
        <v>Via training plan</v>
      </c>
      <c r="I18" s="15" t="s">
        <v>72</v>
      </c>
    </row>
    <row r="19" customFormat="false" ht="15" hidden="false" customHeight="false" outlineLevel="0" collapsed="false">
      <c r="A19" s="15" t="s">
        <v>122</v>
      </c>
      <c r="B19" s="15" t="s">
        <v>123</v>
      </c>
      <c r="C19" s="15" t="s">
        <v>120</v>
      </c>
      <c r="D19" s="15" t="s">
        <v>92</v>
      </c>
      <c r="E19" s="15" t="s">
        <v>84</v>
      </c>
      <c r="F19" s="15" t="s">
        <v>124</v>
      </c>
      <c r="G19" s="15" t="n">
        <f aca="false">COUNTIF(UAT!$B$5:$B$40,A19)</f>
        <v>0</v>
      </c>
      <c r="H19" s="15" t="str">
        <f aca="false">IF(C19="Training","Via training plan",IF(G19&gt;0,"Covered","GAP"))</f>
        <v>Via training plan</v>
      </c>
      <c r="I19" s="15" t="s">
        <v>72</v>
      </c>
    </row>
  </sheetData>
  <conditionalFormatting sqref="H5:H19">
    <cfRule type="expression" priority="2" aboveAverage="0" equalAverage="0" bottom="0" percent="0" rank="0" text="" dxfId="0">
      <formula>H5="Covered"</formula>
    </cfRule>
    <cfRule type="expression" priority="3" aboveAverage="0" equalAverage="0" bottom="0" percent="0" rank="0" text="" dxfId="0">
      <formula>H5="Via training plan"</formula>
    </cfRule>
    <cfRule type="expression" priority="4" aboveAverage="0" equalAverage="0" bottom="0" percent="0" rank="0" text="" dxfId="1">
      <formula>H5="GAP"</formula>
    </cfRule>
  </conditionalFormatting>
  <dataValidations count="2">
    <dataValidation allowBlank="true" errorStyle="stop" operator="between" showDropDown="false" showErrorMessage="false" showInputMessage="false" sqref="E5:E29" type="list">
      <formula1>"Must,Should,Could,Won't"</formula1>
      <formula2>0</formula2>
    </dataValidation>
    <dataValidation allowBlank="true" errorStyle="stop" operator="between" showDropDown="false" showErrorMessage="false" showInputMessage="false" sqref="I5:I29" type="list">
      <formula1>"Draft,Approved,Changed,Descoped"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9"/>
  </cols>
  <sheetData>
    <row r="1" customFormat="false" ht="19.7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14" t="s">
        <v>127</v>
      </c>
      <c r="B4" s="14" t="s">
        <v>128</v>
      </c>
      <c r="C4" s="14" t="s">
        <v>129</v>
      </c>
      <c r="D4" s="14" t="s">
        <v>130</v>
      </c>
      <c r="E4" s="14" t="s">
        <v>131</v>
      </c>
      <c r="F4" s="14" t="s">
        <v>132</v>
      </c>
      <c r="G4" s="14" t="s">
        <v>133</v>
      </c>
    </row>
    <row r="5" customFormat="false" ht="15" hidden="false" customHeight="false" outlineLevel="0" collapsed="false">
      <c r="A5" s="15" t="n">
        <v>1</v>
      </c>
      <c r="B5" s="15" t="s">
        <v>134</v>
      </c>
      <c r="C5" s="15" t="s">
        <v>135</v>
      </c>
      <c r="D5" s="15" t="s">
        <v>136</v>
      </c>
      <c r="E5" s="15" t="s">
        <v>137</v>
      </c>
      <c r="F5" s="15" t="s">
        <v>138</v>
      </c>
      <c r="G5" s="15" t="s">
        <v>66</v>
      </c>
    </row>
    <row r="6" customFormat="false" ht="15" hidden="false" customHeight="false" outlineLevel="0" collapsed="false">
      <c r="A6" s="15" t="n">
        <v>2</v>
      </c>
      <c r="B6" s="15" t="s">
        <v>139</v>
      </c>
      <c r="C6" s="15" t="s">
        <v>140</v>
      </c>
      <c r="D6" s="15" t="s">
        <v>141</v>
      </c>
      <c r="E6" s="15" t="s">
        <v>142</v>
      </c>
      <c r="F6" s="15" t="s">
        <v>131</v>
      </c>
      <c r="G6" s="15" t="s">
        <v>93</v>
      </c>
    </row>
    <row r="7" customFormat="false" ht="15" hidden="false" customHeight="false" outlineLevel="0" collapsed="false">
      <c r="A7" s="15" t="n">
        <v>3</v>
      </c>
      <c r="B7" s="15" t="s">
        <v>143</v>
      </c>
      <c r="C7" s="15" t="s">
        <v>144</v>
      </c>
      <c r="D7" s="15" t="s">
        <v>145</v>
      </c>
      <c r="E7" s="15" t="s">
        <v>142</v>
      </c>
      <c r="F7" s="15" t="s">
        <v>131</v>
      </c>
      <c r="G7" s="15" t="s">
        <v>93</v>
      </c>
    </row>
    <row r="8" customFormat="false" ht="15" hidden="false" customHeight="false" outlineLevel="0" collapsed="false">
      <c r="A8" s="15" t="n">
        <v>4</v>
      </c>
      <c r="B8" s="15" t="s">
        <v>146</v>
      </c>
      <c r="C8" s="15" t="s">
        <v>147</v>
      </c>
      <c r="D8" s="15" t="s">
        <v>148</v>
      </c>
      <c r="E8" s="15" t="s">
        <v>149</v>
      </c>
      <c r="F8" s="15" t="s">
        <v>150</v>
      </c>
      <c r="G8" s="15" t="s">
        <v>77</v>
      </c>
    </row>
    <row r="9" customFormat="false" ht="15" hidden="false" customHeight="false" outlineLevel="0" collapsed="false">
      <c r="A9" s="15" t="n">
        <v>5</v>
      </c>
      <c r="B9" s="15" t="s">
        <v>151</v>
      </c>
      <c r="C9" s="15" t="s">
        <v>152</v>
      </c>
      <c r="D9" s="15" t="s">
        <v>153</v>
      </c>
      <c r="E9" s="15" t="s">
        <v>142</v>
      </c>
      <c r="F9" s="15" t="s">
        <v>154</v>
      </c>
      <c r="G9" s="15" t="s">
        <v>110</v>
      </c>
    </row>
    <row r="10" customFormat="false" ht="15" hidden="false" customHeight="false" outlineLevel="0" collapsed="false">
      <c r="A10" s="15" t="n">
        <v>6</v>
      </c>
      <c r="B10" s="15" t="s">
        <v>155</v>
      </c>
      <c r="C10" s="15" t="s">
        <v>156</v>
      </c>
      <c r="D10" s="15" t="s">
        <v>157</v>
      </c>
      <c r="E10" s="15" t="s">
        <v>97</v>
      </c>
      <c r="F10" s="15" t="s">
        <v>150</v>
      </c>
      <c r="G10" s="15" t="s">
        <v>95</v>
      </c>
    </row>
    <row r="11" customFormat="false" ht="15" hidden="false" customHeight="false" outlineLevel="0" collapsed="false">
      <c r="A11" s="15" t="n">
        <v>7</v>
      </c>
      <c r="B11" s="15" t="s">
        <v>158</v>
      </c>
      <c r="C11" s="15" t="s">
        <v>159</v>
      </c>
      <c r="D11" s="15" t="s">
        <v>160</v>
      </c>
      <c r="E11" s="15" t="s">
        <v>161</v>
      </c>
      <c r="F11" s="15" t="s">
        <v>104</v>
      </c>
      <c r="G11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8" style="0" width="30"/>
    <col collapsed="false" customWidth="true" hidden="false" outlineLevel="0" max="9" min="9" style="0" width="16"/>
  </cols>
  <sheetData>
    <row r="1" customFormat="false" ht="19.7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14" t="s">
        <v>164</v>
      </c>
      <c r="B4" s="14" t="s">
        <v>165</v>
      </c>
      <c r="C4" s="14" t="s">
        <v>166</v>
      </c>
      <c r="D4" s="14" t="s">
        <v>167</v>
      </c>
      <c r="E4" s="14" t="s">
        <v>168</v>
      </c>
      <c r="F4" s="14" t="s">
        <v>169</v>
      </c>
      <c r="H4" s="5" t="s">
        <v>170</v>
      </c>
      <c r="I4" s="5" t="s">
        <v>171</v>
      </c>
    </row>
    <row r="5" customFormat="false" ht="15" hidden="false" customHeight="false" outlineLevel="0" collapsed="false">
      <c r="A5" s="16" t="s">
        <v>172</v>
      </c>
      <c r="B5" s="16" t="s">
        <v>173</v>
      </c>
      <c r="C5" s="17" t="n">
        <v>32</v>
      </c>
      <c r="D5" s="16" t="n">
        <v>1.5</v>
      </c>
      <c r="E5" s="16" t="n">
        <v>1.5</v>
      </c>
      <c r="F5" s="16" t="n">
        <v>3</v>
      </c>
      <c r="H5" s="8" t="s">
        <v>174</v>
      </c>
      <c r="I5" s="18" t="n">
        <v>25</v>
      </c>
    </row>
    <row r="6" customFormat="false" ht="15" hidden="false" customHeight="false" outlineLevel="0" collapsed="false">
      <c r="A6" s="16" t="s">
        <v>175</v>
      </c>
      <c r="B6" s="16" t="s">
        <v>176</v>
      </c>
      <c r="C6" s="17" t="n">
        <v>36</v>
      </c>
      <c r="D6" s="16" t="n">
        <v>1.5</v>
      </c>
      <c r="E6" s="16" t="n">
        <v>1.5</v>
      </c>
      <c r="F6" s="16" t="n">
        <v>3</v>
      </c>
      <c r="H6" s="8" t="s">
        <v>177</v>
      </c>
      <c r="I6" s="18" t="n">
        <v>70</v>
      </c>
    </row>
    <row r="7" customFormat="false" ht="15" hidden="false" customHeight="false" outlineLevel="0" collapsed="false">
      <c r="A7" s="16" t="s">
        <v>178</v>
      </c>
      <c r="B7" s="16" t="s">
        <v>179</v>
      </c>
      <c r="C7" s="17" t="n">
        <v>41</v>
      </c>
      <c r="D7" s="16" t="n">
        <v>1.5</v>
      </c>
      <c r="E7" s="16" t="n">
        <v>1.5</v>
      </c>
      <c r="F7" s="16" t="n">
        <v>3</v>
      </c>
      <c r="H7" s="8" t="s">
        <v>180</v>
      </c>
      <c r="I7" s="18" t="n">
        <v>7.6</v>
      </c>
    </row>
    <row r="8" customFormat="false" ht="15" hidden="false" customHeight="false" outlineLevel="0" collapsed="false">
      <c r="A8" s="16" t="s">
        <v>181</v>
      </c>
      <c r="B8" s="16" t="s">
        <v>182</v>
      </c>
      <c r="C8" s="17" t="n">
        <v>48</v>
      </c>
      <c r="D8" s="16" t="n">
        <v>1.5</v>
      </c>
      <c r="E8" s="16" t="n">
        <v>1.75</v>
      </c>
      <c r="F8" s="16" t="n">
        <v>4</v>
      </c>
      <c r="H8" s="8" t="s">
        <v>183</v>
      </c>
      <c r="I8" s="19" t="n">
        <v>46296</v>
      </c>
    </row>
    <row r="9" customFormat="false" ht="15" hidden="false" customHeight="false" outlineLevel="0" collapsed="false">
      <c r="A9" s="16" t="s">
        <v>184</v>
      </c>
      <c r="B9" s="16" t="s">
        <v>185</v>
      </c>
      <c r="C9" s="17" t="n">
        <v>34</v>
      </c>
      <c r="D9" s="16" t="n">
        <v>2</v>
      </c>
      <c r="E9" s="16" t="n">
        <v>1.5</v>
      </c>
      <c r="F9" s="16" t="n">
        <v>4</v>
      </c>
    </row>
    <row r="12" customFormat="false" ht="15" hidden="false" customHeight="false" outlineLevel="0" collapsed="false">
      <c r="A12" s="13" t="s">
        <v>186</v>
      </c>
    </row>
    <row r="13" customFormat="false" ht="15" hidden="false" customHeight="false" outlineLevel="0" collapsed="false">
      <c r="A13" s="8" t="s">
        <v>164</v>
      </c>
      <c r="B13" s="18" t="s">
        <v>175</v>
      </c>
    </row>
    <row r="14" customFormat="false" ht="15" hidden="false" customHeight="false" outlineLevel="0" collapsed="false">
      <c r="A14" s="8" t="s">
        <v>187</v>
      </c>
      <c r="B14" s="18" t="n">
        <v>10.5</v>
      </c>
    </row>
    <row r="15" customFormat="false" ht="15" hidden="false" customHeight="false" outlineLevel="0" collapsed="false">
      <c r="A15" s="8" t="s">
        <v>188</v>
      </c>
      <c r="B15" s="9" t="n">
        <f aca="false">MIN(B14,$I$7)</f>
        <v>7.6</v>
      </c>
    </row>
    <row r="16" customFormat="false" ht="15" hidden="false" customHeight="false" outlineLevel="0" collapsed="false">
      <c r="A16" s="8" t="s">
        <v>189</v>
      </c>
      <c r="B16" s="9" t="n">
        <f aca="false">MAX(0,B14-$I$7)</f>
        <v>2.9</v>
      </c>
    </row>
    <row r="17" customFormat="false" ht="15" hidden="false" customHeight="false" outlineLevel="0" collapsed="false">
      <c r="A17" s="8" t="s">
        <v>190</v>
      </c>
      <c r="B17" s="20" t="n">
        <f aca="false">INDEX($C$5:$C$9,MATCH(B13,$A$5:$A$9,0))</f>
        <v>36</v>
      </c>
    </row>
    <row r="18" customFormat="false" ht="15" hidden="false" customHeight="false" outlineLevel="0" collapsed="false">
      <c r="A18" s="8" t="s">
        <v>167</v>
      </c>
      <c r="B18" s="9" t="n">
        <f aca="false">INDEX($D$5:$D$9,MATCH(B13,$A$5:$A$9,0))</f>
        <v>1.5</v>
      </c>
    </row>
    <row r="19" customFormat="false" ht="15" hidden="false" customHeight="false" outlineLevel="0" collapsed="false">
      <c r="A19" s="8" t="s">
        <v>191</v>
      </c>
      <c r="B19" s="20" t="n">
        <f aca="false">B15*B17+B16*B17*B18</f>
        <v>430.2</v>
      </c>
    </row>
    <row r="21" customFormat="false" ht="15" hidden="false" customHeight="false" outlineLevel="0" collapsed="false">
      <c r="A21" s="2" t="s">
        <v>192</v>
      </c>
    </row>
  </sheetData>
  <dataValidations count="1">
    <dataValidation allowBlank="true" errorStyle="stop" operator="between" showDropDown="false" showErrorMessage="false" showInputMessage="false" sqref="B13" type="list">
      <formula1>"FS-L1,FS-L2,FS-L3,TL-L4,ADM-L2"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4"/>
  </cols>
  <sheetData>
    <row r="1" customFormat="false" ht="19.7" hidden="false" customHeight="false" outlineLevel="0" collapsed="false">
      <c r="A1" s="1" t="s">
        <v>193</v>
      </c>
    </row>
    <row r="2" customFormat="false" ht="15" hidden="false" customHeight="false" outlineLevel="0" collapsed="false">
      <c r="A2" s="2" t="s">
        <v>194</v>
      </c>
    </row>
    <row r="4" customFormat="false" ht="15" hidden="false" customHeight="false" outlineLevel="0" collapsed="false">
      <c r="A4" s="14" t="s">
        <v>195</v>
      </c>
      <c r="B4" s="14" t="s">
        <v>196</v>
      </c>
      <c r="C4" s="14" t="s">
        <v>19</v>
      </c>
      <c r="D4" s="14" t="s">
        <v>197</v>
      </c>
      <c r="E4" s="14" t="s">
        <v>164</v>
      </c>
      <c r="F4" s="14" t="s">
        <v>198</v>
      </c>
      <c r="G4" s="14" t="s">
        <v>199</v>
      </c>
      <c r="H4" s="14" t="s">
        <v>200</v>
      </c>
    </row>
    <row r="5" customFormat="false" ht="15" hidden="false" customHeight="false" outlineLevel="0" collapsed="false">
      <c r="A5" s="15" t="s">
        <v>201</v>
      </c>
      <c r="B5" s="15" t="s">
        <v>202</v>
      </c>
      <c r="C5" s="15" t="s">
        <v>28</v>
      </c>
      <c r="D5" s="15" t="s">
        <v>203</v>
      </c>
      <c r="E5" s="15" t="s">
        <v>175</v>
      </c>
      <c r="F5" s="21" t="n">
        <v>42202</v>
      </c>
      <c r="G5" s="22" t="n">
        <v>36</v>
      </c>
      <c r="H5" s="15" t="s">
        <v>204</v>
      </c>
    </row>
    <row r="6" customFormat="false" ht="15" hidden="false" customHeight="false" outlineLevel="0" collapsed="false">
      <c r="A6" s="15" t="s">
        <v>205</v>
      </c>
      <c r="B6" s="15" t="s">
        <v>206</v>
      </c>
      <c r="C6" s="15" t="s">
        <v>26</v>
      </c>
      <c r="D6" s="15" t="s">
        <v>207</v>
      </c>
      <c r="E6" s="15" t="s">
        <v>172</v>
      </c>
      <c r="F6" s="21" t="n">
        <v>42242</v>
      </c>
      <c r="G6" s="22" t="n">
        <v>32</v>
      </c>
      <c r="H6" s="15" t="s">
        <v>208</v>
      </c>
    </row>
    <row r="7" customFormat="false" ht="15" hidden="false" customHeight="false" outlineLevel="0" collapsed="false">
      <c r="A7" s="15" t="s">
        <v>209</v>
      </c>
      <c r="B7" s="15" t="s">
        <v>210</v>
      </c>
      <c r="C7" s="15" t="s">
        <v>28</v>
      </c>
      <c r="D7" s="15" t="s">
        <v>154</v>
      </c>
      <c r="E7" s="15" t="s">
        <v>181</v>
      </c>
      <c r="F7" s="21" t="n">
        <v>43781</v>
      </c>
      <c r="G7" s="22" t="n">
        <v>48</v>
      </c>
      <c r="H7" s="15" t="s">
        <v>211</v>
      </c>
    </row>
    <row r="8" customFormat="false" ht="15" hidden="false" customHeight="false" outlineLevel="0" collapsed="false">
      <c r="A8" s="15" t="s">
        <v>212</v>
      </c>
      <c r="B8" s="15" t="s">
        <v>213</v>
      </c>
      <c r="C8" s="15" t="s">
        <v>28</v>
      </c>
      <c r="D8" s="15" t="s">
        <v>203</v>
      </c>
      <c r="E8" s="15" t="s">
        <v>175</v>
      </c>
      <c r="F8" s="21" t="n">
        <v>43743</v>
      </c>
      <c r="G8" s="22" t="n">
        <v>36</v>
      </c>
      <c r="H8" s="15" t="s">
        <v>214</v>
      </c>
    </row>
    <row r="9" customFormat="false" ht="15" hidden="false" customHeight="false" outlineLevel="0" collapsed="false">
      <c r="A9" s="15" t="s">
        <v>215</v>
      </c>
      <c r="B9" s="15" t="s">
        <v>216</v>
      </c>
      <c r="C9" s="15" t="s">
        <v>26</v>
      </c>
      <c r="D9" s="15" t="s">
        <v>207</v>
      </c>
      <c r="E9" s="15" t="s">
        <v>172</v>
      </c>
      <c r="F9" s="21" t="n">
        <v>44574</v>
      </c>
      <c r="G9" s="22" t="n">
        <v>32</v>
      </c>
      <c r="H9" s="15"/>
    </row>
    <row r="10" customFormat="false" ht="15" hidden="false" customHeight="false" outlineLevel="0" collapsed="false">
      <c r="A10" s="15" t="s">
        <v>217</v>
      </c>
      <c r="B10" s="15" t="s">
        <v>218</v>
      </c>
      <c r="C10" s="15" t="s">
        <v>26</v>
      </c>
      <c r="D10" s="15" t="s">
        <v>219</v>
      </c>
      <c r="E10" s="15" t="s">
        <v>178</v>
      </c>
      <c r="F10" s="21" t="n">
        <v>43629</v>
      </c>
      <c r="G10" s="22" t="n">
        <v>41</v>
      </c>
      <c r="H10" s="15" t="s">
        <v>220</v>
      </c>
    </row>
    <row r="11" customFormat="false" ht="15" hidden="false" customHeight="false" outlineLevel="0" collapsed="false">
      <c r="A11" s="15" t="s">
        <v>221</v>
      </c>
      <c r="B11" s="15" t="s">
        <v>222</v>
      </c>
      <c r="C11" s="15" t="s">
        <v>28</v>
      </c>
      <c r="D11" s="15" t="s">
        <v>207</v>
      </c>
      <c r="E11" s="15" t="s">
        <v>172</v>
      </c>
      <c r="F11" s="21" t="n">
        <v>42550</v>
      </c>
      <c r="G11" s="22" t="n">
        <v>32</v>
      </c>
      <c r="H11" s="15" t="s">
        <v>223</v>
      </c>
    </row>
    <row r="12" customFormat="false" ht="15" hidden="false" customHeight="false" outlineLevel="0" collapsed="false">
      <c r="A12" s="15" t="s">
        <v>224</v>
      </c>
      <c r="B12" s="15" t="s">
        <v>225</v>
      </c>
      <c r="C12" s="15" t="s">
        <v>28</v>
      </c>
      <c r="D12" s="15" t="s">
        <v>203</v>
      </c>
      <c r="E12" s="15" t="s">
        <v>175</v>
      </c>
      <c r="F12" s="21" t="n">
        <v>44343</v>
      </c>
      <c r="G12" s="22" t="n">
        <v>36</v>
      </c>
      <c r="H12" s="15" t="s">
        <v>226</v>
      </c>
    </row>
    <row r="13" customFormat="false" ht="15" hidden="false" customHeight="false" outlineLevel="0" collapsed="false">
      <c r="A13" s="15" t="s">
        <v>227</v>
      </c>
      <c r="B13" s="15" t="s">
        <v>228</v>
      </c>
      <c r="C13" s="15" t="s">
        <v>28</v>
      </c>
      <c r="D13" s="15" t="s">
        <v>203</v>
      </c>
      <c r="E13" s="15" t="s">
        <v>175</v>
      </c>
      <c r="F13" s="21" t="n">
        <v>44344</v>
      </c>
      <c r="G13" s="22" t="n">
        <v>36</v>
      </c>
      <c r="H13" s="15" t="s">
        <v>229</v>
      </c>
    </row>
    <row r="14" customFormat="false" ht="15" hidden="false" customHeight="false" outlineLevel="0" collapsed="false">
      <c r="A14" s="15" t="s">
        <v>230</v>
      </c>
      <c r="B14" s="15" t="s">
        <v>231</v>
      </c>
      <c r="C14" s="15" t="s">
        <v>29</v>
      </c>
      <c r="D14" s="15" t="s">
        <v>219</v>
      </c>
      <c r="E14" s="15" t="s">
        <v>232</v>
      </c>
      <c r="F14" s="21" t="n">
        <v>44921</v>
      </c>
      <c r="G14" s="22" t="n">
        <v>41</v>
      </c>
      <c r="H14" s="15" t="s">
        <v>233</v>
      </c>
    </row>
    <row r="15" customFormat="false" ht="15" hidden="false" customHeight="false" outlineLevel="0" collapsed="false">
      <c r="A15" s="15" t="s">
        <v>234</v>
      </c>
      <c r="B15" s="15" t="s">
        <v>235</v>
      </c>
      <c r="C15" s="15" t="s">
        <v>26</v>
      </c>
      <c r="D15" s="15" t="s">
        <v>207</v>
      </c>
      <c r="E15" s="15" t="s">
        <v>172</v>
      </c>
      <c r="F15" s="21" t="n">
        <v>44038</v>
      </c>
      <c r="G15" s="22" t="n">
        <v>32</v>
      </c>
      <c r="H15" s="15" t="s">
        <v>236</v>
      </c>
    </row>
    <row r="16" customFormat="false" ht="15" hidden="false" customHeight="false" outlineLevel="0" collapsed="false">
      <c r="A16" s="15" t="s">
        <v>237</v>
      </c>
      <c r="B16" s="15" t="s">
        <v>238</v>
      </c>
      <c r="C16" s="15" t="s">
        <v>31</v>
      </c>
      <c r="D16" s="15" t="s">
        <v>219</v>
      </c>
      <c r="E16" s="15" t="s">
        <v>178</v>
      </c>
      <c r="F16" s="21" t="n">
        <v>43912</v>
      </c>
      <c r="G16" s="22" t="n">
        <v>41</v>
      </c>
      <c r="H16" s="15" t="s">
        <v>239</v>
      </c>
    </row>
    <row r="17" customFormat="false" ht="15" hidden="false" customHeight="false" outlineLevel="0" collapsed="false">
      <c r="A17" s="15" t="s">
        <v>240</v>
      </c>
      <c r="B17" s="15" t="s">
        <v>241</v>
      </c>
      <c r="C17" s="15" t="s">
        <v>31</v>
      </c>
      <c r="D17" s="15" t="s">
        <v>219</v>
      </c>
      <c r="E17" s="15" t="s">
        <v>178</v>
      </c>
      <c r="F17" s="21" t="n">
        <v>43022</v>
      </c>
      <c r="G17" s="22" t="n">
        <v>0</v>
      </c>
      <c r="H17" s="15" t="s">
        <v>242</v>
      </c>
    </row>
    <row r="18" customFormat="false" ht="15" hidden="false" customHeight="false" outlineLevel="0" collapsed="false">
      <c r="A18" s="15" t="s">
        <v>243</v>
      </c>
      <c r="B18" s="15" t="s">
        <v>244</v>
      </c>
      <c r="C18" s="15" t="s">
        <v>28</v>
      </c>
      <c r="D18" s="15" t="s">
        <v>219</v>
      </c>
      <c r="E18" s="15" t="s">
        <v>178</v>
      </c>
      <c r="F18" s="21" t="n">
        <v>43234</v>
      </c>
      <c r="G18" s="22" t="n">
        <v>41</v>
      </c>
      <c r="H18" s="15" t="s">
        <v>245</v>
      </c>
    </row>
    <row r="19" customFormat="false" ht="15" hidden="false" customHeight="false" outlineLevel="0" collapsed="false">
      <c r="A19" s="15" t="s">
        <v>246</v>
      </c>
      <c r="B19" s="15" t="s">
        <v>247</v>
      </c>
      <c r="C19" s="15" t="s">
        <v>29</v>
      </c>
      <c r="D19" s="15" t="s">
        <v>203</v>
      </c>
      <c r="E19" s="15" t="s">
        <v>175</v>
      </c>
      <c r="F19" s="21" t="n">
        <v>43184</v>
      </c>
      <c r="G19" s="22" t="n">
        <v>36</v>
      </c>
      <c r="H19" s="15" t="s">
        <v>248</v>
      </c>
    </row>
    <row r="20" customFormat="false" ht="15" hidden="false" customHeight="false" outlineLevel="0" collapsed="false">
      <c r="A20" s="15" t="s">
        <v>249</v>
      </c>
      <c r="B20" s="15" t="s">
        <v>250</v>
      </c>
      <c r="C20" s="15" t="s">
        <v>26</v>
      </c>
      <c r="D20" s="15" t="s">
        <v>219</v>
      </c>
      <c r="E20" s="15" t="s">
        <v>178</v>
      </c>
      <c r="F20" s="21" t="n">
        <v>43717</v>
      </c>
      <c r="G20" s="22" t="n">
        <v>41</v>
      </c>
      <c r="H20" s="15" t="s">
        <v>251</v>
      </c>
    </row>
    <row r="21" customFormat="false" ht="15" hidden="false" customHeight="false" outlineLevel="0" collapsed="false">
      <c r="A21" s="15" t="s">
        <v>252</v>
      </c>
      <c r="B21" s="15" t="s">
        <v>253</v>
      </c>
      <c r="C21" s="15" t="s">
        <v>29</v>
      </c>
      <c r="D21" s="15" t="s">
        <v>207</v>
      </c>
      <c r="E21" s="15" t="s">
        <v>172</v>
      </c>
      <c r="F21" s="21" t="n">
        <v>43732</v>
      </c>
      <c r="G21" s="22" t="n">
        <v>32</v>
      </c>
      <c r="H21" s="15" t="s">
        <v>254</v>
      </c>
    </row>
    <row r="22" customFormat="false" ht="15" hidden="false" customHeight="false" outlineLevel="0" collapsed="false">
      <c r="A22" s="15" t="s">
        <v>255</v>
      </c>
      <c r="B22" s="15" t="s">
        <v>256</v>
      </c>
      <c r="C22" s="15" t="s">
        <v>26</v>
      </c>
      <c r="D22" s="15" t="s">
        <v>207</v>
      </c>
      <c r="E22" s="15" t="s">
        <v>172</v>
      </c>
      <c r="F22" s="21" t="n">
        <v>44352</v>
      </c>
      <c r="G22" s="22" t="n">
        <v>32</v>
      </c>
      <c r="H22" s="15"/>
    </row>
    <row r="23" customFormat="false" ht="15" hidden="false" customHeight="false" outlineLevel="0" collapsed="false">
      <c r="A23" s="15" t="s">
        <v>257</v>
      </c>
      <c r="B23" s="15" t="s">
        <v>258</v>
      </c>
      <c r="C23" s="15" t="s">
        <v>29</v>
      </c>
      <c r="D23" s="15" t="s">
        <v>219</v>
      </c>
      <c r="E23" s="15" t="s">
        <v>178</v>
      </c>
      <c r="F23" s="21" t="n">
        <v>43439</v>
      </c>
      <c r="G23" s="22" t="n">
        <v>41</v>
      </c>
      <c r="H23" s="15" t="s">
        <v>259</v>
      </c>
    </row>
    <row r="24" customFormat="false" ht="15" hidden="false" customHeight="false" outlineLevel="0" collapsed="false">
      <c r="A24" s="15" t="s">
        <v>260</v>
      </c>
      <c r="B24" s="15" t="s">
        <v>261</v>
      </c>
      <c r="C24" s="15" t="s">
        <v>31</v>
      </c>
      <c r="D24" s="15" t="s">
        <v>219</v>
      </c>
      <c r="E24" s="15" t="s">
        <v>178</v>
      </c>
      <c r="F24" s="21" t="n">
        <v>42388</v>
      </c>
      <c r="G24" s="22" t="n">
        <v>41</v>
      </c>
      <c r="H24" s="15" t="s">
        <v>262</v>
      </c>
    </row>
    <row r="25" customFormat="false" ht="15" hidden="false" customHeight="false" outlineLevel="0" collapsed="false">
      <c r="A25" s="15" t="s">
        <v>263</v>
      </c>
      <c r="B25" s="15" t="s">
        <v>264</v>
      </c>
      <c r="C25" s="15" t="s">
        <v>31</v>
      </c>
      <c r="D25" s="15" t="s">
        <v>265</v>
      </c>
      <c r="E25" s="15" t="s">
        <v>184</v>
      </c>
      <c r="F25" s="21" t="n">
        <v>42271</v>
      </c>
      <c r="G25" s="22" t="n">
        <v>34</v>
      </c>
      <c r="H25" s="15" t="s">
        <v>266</v>
      </c>
    </row>
    <row r="26" customFormat="false" ht="15" hidden="false" customHeight="false" outlineLevel="0" collapsed="false">
      <c r="A26" s="15" t="s">
        <v>267</v>
      </c>
      <c r="B26" s="15" t="s">
        <v>268</v>
      </c>
      <c r="C26" s="15" t="s">
        <v>29</v>
      </c>
      <c r="D26" s="15" t="s">
        <v>207</v>
      </c>
      <c r="E26" s="15" t="s">
        <v>172</v>
      </c>
      <c r="F26" s="21" t="n">
        <v>44795</v>
      </c>
      <c r="G26" s="22" t="n">
        <v>32</v>
      </c>
      <c r="H26" s="15" t="s">
        <v>269</v>
      </c>
    </row>
    <row r="27" customFormat="false" ht="15" hidden="false" customHeight="false" outlineLevel="0" collapsed="false">
      <c r="A27" s="15" t="s">
        <v>270</v>
      </c>
      <c r="B27" s="15" t="s">
        <v>271</v>
      </c>
      <c r="C27" s="15" t="s">
        <v>29</v>
      </c>
      <c r="D27" s="15" t="s">
        <v>219</v>
      </c>
      <c r="E27" s="15" t="s">
        <v>178</v>
      </c>
      <c r="F27" s="21" t="n">
        <v>44743</v>
      </c>
      <c r="G27" s="22" t="n">
        <v>41</v>
      </c>
      <c r="H27" s="15" t="s">
        <v>272</v>
      </c>
    </row>
    <row r="28" customFormat="false" ht="15" hidden="false" customHeight="false" outlineLevel="0" collapsed="false">
      <c r="A28" s="15" t="s">
        <v>273</v>
      </c>
      <c r="B28" s="15" t="s">
        <v>274</v>
      </c>
      <c r="C28" s="15" t="s">
        <v>31</v>
      </c>
      <c r="D28" s="15" t="s">
        <v>203</v>
      </c>
      <c r="E28" s="15" t="s">
        <v>175</v>
      </c>
      <c r="F28" s="21" t="n">
        <v>44507</v>
      </c>
      <c r="G28" s="22" t="n">
        <v>36</v>
      </c>
      <c r="H28" s="15" t="s">
        <v>275</v>
      </c>
    </row>
    <row r="29" customFormat="false" ht="15" hidden="false" customHeight="false" outlineLevel="0" collapsed="false">
      <c r="A29" s="15" t="s">
        <v>276</v>
      </c>
      <c r="B29" s="15" t="s">
        <v>277</v>
      </c>
      <c r="C29" s="15" t="s">
        <v>26</v>
      </c>
      <c r="D29" s="15" t="s">
        <v>207</v>
      </c>
      <c r="E29" s="15" t="s">
        <v>172</v>
      </c>
      <c r="F29" s="21" t="n">
        <v>43182</v>
      </c>
      <c r="G29" s="22" t="n">
        <v>32</v>
      </c>
      <c r="H29" s="15" t="s">
        <v>278</v>
      </c>
    </row>
    <row r="30" customFormat="false" ht="15" hidden="false" customHeight="false" outlineLevel="0" collapsed="false">
      <c r="A30" s="15" t="s">
        <v>279</v>
      </c>
      <c r="B30" s="15" t="s">
        <v>280</v>
      </c>
      <c r="C30" s="15" t="s">
        <v>28</v>
      </c>
      <c r="D30" s="15" t="s">
        <v>207</v>
      </c>
      <c r="E30" s="15" t="s">
        <v>172</v>
      </c>
      <c r="F30" s="21" t="n">
        <v>44038</v>
      </c>
      <c r="G30" s="22" t="n">
        <v>32</v>
      </c>
      <c r="H30" s="15" t="s">
        <v>281</v>
      </c>
    </row>
    <row r="31" customFormat="false" ht="15" hidden="false" customHeight="false" outlineLevel="0" collapsed="false">
      <c r="A31" s="15" t="s">
        <v>282</v>
      </c>
      <c r="B31" s="15" t="s">
        <v>283</v>
      </c>
      <c r="C31" s="15" t="s">
        <v>31</v>
      </c>
      <c r="D31" s="15" t="s">
        <v>207</v>
      </c>
      <c r="E31" s="15" t="s">
        <v>172</v>
      </c>
      <c r="F31" s="21" t="n">
        <v>43143</v>
      </c>
      <c r="G31" s="22" t="n">
        <v>32</v>
      </c>
      <c r="H31" s="15" t="s">
        <v>284</v>
      </c>
    </row>
    <row r="32" customFormat="false" ht="15" hidden="false" customHeight="false" outlineLevel="0" collapsed="false">
      <c r="A32" s="15" t="s">
        <v>285</v>
      </c>
      <c r="B32" s="15" t="s">
        <v>286</v>
      </c>
      <c r="C32" s="15" t="s">
        <v>31</v>
      </c>
      <c r="D32" s="15" t="s">
        <v>154</v>
      </c>
      <c r="E32" s="15" t="s">
        <v>181</v>
      </c>
      <c r="F32" s="21" t="n">
        <v>46460</v>
      </c>
      <c r="G32" s="22" t="n">
        <v>48</v>
      </c>
      <c r="H32" s="15" t="s">
        <v>287</v>
      </c>
    </row>
    <row r="33" customFormat="false" ht="15" hidden="false" customHeight="false" outlineLevel="0" collapsed="false">
      <c r="A33" s="15" t="s">
        <v>288</v>
      </c>
      <c r="B33" s="15" t="s">
        <v>289</v>
      </c>
      <c r="C33" s="15" t="s">
        <v>29</v>
      </c>
      <c r="D33" s="15" t="s">
        <v>219</v>
      </c>
      <c r="E33" s="15" t="s">
        <v>178</v>
      </c>
      <c r="F33" s="21" t="n">
        <v>42950</v>
      </c>
      <c r="G33" s="22" t="n">
        <v>41</v>
      </c>
      <c r="H33" s="15" t="s">
        <v>290</v>
      </c>
    </row>
    <row r="34" customFormat="false" ht="15" hidden="false" customHeight="false" outlineLevel="0" collapsed="false">
      <c r="A34" s="15" t="s">
        <v>291</v>
      </c>
      <c r="B34" s="15" t="s">
        <v>292</v>
      </c>
      <c r="C34" s="15" t="s">
        <v>28</v>
      </c>
      <c r="D34" s="15" t="s">
        <v>207</v>
      </c>
      <c r="E34" s="15" t="s">
        <v>172</v>
      </c>
      <c r="F34" s="21" t="n">
        <v>44702</v>
      </c>
      <c r="G34" s="22" t="n">
        <v>32</v>
      </c>
      <c r="H34" s="15" t="s">
        <v>293</v>
      </c>
    </row>
    <row r="35" customFormat="false" ht="15" hidden="false" customHeight="false" outlineLevel="0" collapsed="false">
      <c r="A35" s="15" t="s">
        <v>294</v>
      </c>
      <c r="B35" s="15" t="s">
        <v>295</v>
      </c>
      <c r="C35" s="15" t="s">
        <v>31</v>
      </c>
      <c r="D35" s="15" t="s">
        <v>207</v>
      </c>
      <c r="E35" s="15" t="s">
        <v>172</v>
      </c>
      <c r="F35" s="21" t="n">
        <v>42751</v>
      </c>
      <c r="G35" s="22" t="n">
        <v>32</v>
      </c>
      <c r="H35" s="15" t="s">
        <v>296</v>
      </c>
    </row>
    <row r="36" customFormat="false" ht="15" hidden="false" customHeight="false" outlineLevel="0" collapsed="false">
      <c r="A36" s="15" t="s">
        <v>297</v>
      </c>
      <c r="B36" s="15" t="s">
        <v>298</v>
      </c>
      <c r="C36" s="15" t="s">
        <v>26</v>
      </c>
      <c r="D36" s="15" t="s">
        <v>207</v>
      </c>
      <c r="E36" s="15" t="s">
        <v>172</v>
      </c>
      <c r="F36" s="21" t="n">
        <v>44194</v>
      </c>
      <c r="G36" s="22" t="n">
        <v>32</v>
      </c>
      <c r="H36" s="15" t="s">
        <v>299</v>
      </c>
    </row>
    <row r="37" customFormat="false" ht="15" hidden="false" customHeight="false" outlineLevel="0" collapsed="false">
      <c r="A37" s="15" t="s">
        <v>300</v>
      </c>
      <c r="B37" s="15" t="s">
        <v>301</v>
      </c>
      <c r="C37" s="15" t="s">
        <v>29</v>
      </c>
      <c r="D37" s="15" t="s">
        <v>203</v>
      </c>
      <c r="E37" s="15" t="s">
        <v>175</v>
      </c>
      <c r="F37" s="21" t="n">
        <v>44116</v>
      </c>
      <c r="G37" s="22" t="n">
        <v>36</v>
      </c>
      <c r="H37" s="15" t="s">
        <v>302</v>
      </c>
    </row>
    <row r="38" customFormat="false" ht="15" hidden="false" customHeight="false" outlineLevel="0" collapsed="false">
      <c r="A38" s="15" t="s">
        <v>303</v>
      </c>
      <c r="B38" s="15" t="s">
        <v>304</v>
      </c>
      <c r="C38" s="15" t="s">
        <v>26</v>
      </c>
      <c r="D38" s="15" t="s">
        <v>265</v>
      </c>
      <c r="E38" s="15" t="s">
        <v>184</v>
      </c>
      <c r="F38" s="21" t="n">
        <v>45199</v>
      </c>
      <c r="G38" s="22" t="n">
        <v>34</v>
      </c>
      <c r="H38" s="15"/>
    </row>
    <row r="39" customFormat="false" ht="15" hidden="false" customHeight="false" outlineLevel="0" collapsed="false">
      <c r="A39" s="15" t="s">
        <v>305</v>
      </c>
      <c r="B39" s="15" t="s">
        <v>280</v>
      </c>
      <c r="C39" s="15" t="s">
        <v>31</v>
      </c>
      <c r="D39" s="15" t="s">
        <v>265</v>
      </c>
      <c r="E39" s="15" t="s">
        <v>184</v>
      </c>
      <c r="F39" s="21" t="n">
        <v>43619</v>
      </c>
      <c r="G39" s="22" t="n">
        <v>34</v>
      </c>
      <c r="H39" s="15" t="s">
        <v>281</v>
      </c>
    </row>
    <row r="40" customFormat="false" ht="15" hidden="false" customHeight="false" outlineLevel="0" collapsed="false">
      <c r="A40" s="15" t="s">
        <v>306</v>
      </c>
      <c r="B40" s="15" t="s">
        <v>307</v>
      </c>
      <c r="C40" s="15" t="s">
        <v>31</v>
      </c>
      <c r="D40" s="15" t="s">
        <v>207</v>
      </c>
      <c r="E40" s="15" t="s">
        <v>172</v>
      </c>
      <c r="F40" s="21" t="n">
        <v>42280</v>
      </c>
      <c r="G40" s="22" t="n">
        <v>32</v>
      </c>
      <c r="H40" s="15" t="s">
        <v>308</v>
      </c>
    </row>
    <row r="41" customFormat="false" ht="15" hidden="false" customHeight="false" outlineLevel="0" collapsed="false">
      <c r="A41" s="15" t="s">
        <v>309</v>
      </c>
      <c r="B41" s="15" t="s">
        <v>310</v>
      </c>
      <c r="C41" s="15" t="s">
        <v>31</v>
      </c>
      <c r="D41" s="15" t="s">
        <v>265</v>
      </c>
      <c r="E41" s="15" t="s">
        <v>184</v>
      </c>
      <c r="F41" s="21" t="n">
        <v>43397</v>
      </c>
      <c r="G41" s="22" t="n">
        <v>34</v>
      </c>
      <c r="H41" s="15" t="s">
        <v>311</v>
      </c>
    </row>
    <row r="42" customFormat="false" ht="15" hidden="false" customHeight="false" outlineLevel="0" collapsed="false">
      <c r="A42" s="15" t="s">
        <v>312</v>
      </c>
      <c r="B42" s="15" t="s">
        <v>313</v>
      </c>
      <c r="C42" s="15" t="s">
        <v>26</v>
      </c>
      <c r="D42" s="15" t="s">
        <v>219</v>
      </c>
      <c r="E42" s="15" t="s">
        <v>178</v>
      </c>
      <c r="F42" s="21" t="n">
        <v>42624</v>
      </c>
      <c r="G42" s="22" t="n">
        <v>41</v>
      </c>
      <c r="H42" s="15" t="s">
        <v>314</v>
      </c>
    </row>
    <row r="43" customFormat="false" ht="15" hidden="false" customHeight="false" outlineLevel="0" collapsed="false">
      <c r="A43" s="15" t="s">
        <v>315</v>
      </c>
      <c r="B43" s="15" t="s">
        <v>316</v>
      </c>
      <c r="C43" s="15" t="s">
        <v>29</v>
      </c>
      <c r="D43" s="15" t="s">
        <v>203</v>
      </c>
      <c r="E43" s="15" t="s">
        <v>175</v>
      </c>
      <c r="F43" s="21" t="n">
        <v>42293</v>
      </c>
      <c r="G43" s="22" t="n">
        <v>36</v>
      </c>
      <c r="H43" s="15" t="s">
        <v>317</v>
      </c>
    </row>
    <row r="44" customFormat="false" ht="15" hidden="false" customHeight="false" outlineLevel="0" collapsed="false">
      <c r="A44" s="15" t="s">
        <v>318</v>
      </c>
      <c r="B44" s="15" t="s">
        <v>319</v>
      </c>
      <c r="C44" s="15" t="s">
        <v>31</v>
      </c>
      <c r="D44" s="15" t="s">
        <v>154</v>
      </c>
      <c r="E44" s="15" t="s">
        <v>181</v>
      </c>
      <c r="F44" s="21" t="n">
        <v>43038</v>
      </c>
      <c r="G44" s="22" t="n">
        <v>48</v>
      </c>
      <c r="H44" s="15" t="s">
        <v>320</v>
      </c>
    </row>
    <row r="45" customFormat="false" ht="15" hidden="false" customHeight="false" outlineLevel="0" collapsed="false">
      <c r="A45" s="15" t="s">
        <v>321</v>
      </c>
      <c r="B45" s="15" t="s">
        <v>322</v>
      </c>
      <c r="C45" s="15" t="s">
        <v>29</v>
      </c>
      <c r="D45" s="15" t="s">
        <v>265</v>
      </c>
      <c r="E45" s="15" t="s">
        <v>184</v>
      </c>
      <c r="F45" s="21" t="n">
        <v>42477</v>
      </c>
      <c r="G45" s="22" t="n">
        <v>34</v>
      </c>
      <c r="H45" s="15" t="s">
        <v>323</v>
      </c>
    </row>
    <row r="46" customFormat="false" ht="15" hidden="false" customHeight="false" outlineLevel="0" collapsed="false">
      <c r="A46" s="15" t="s">
        <v>324</v>
      </c>
      <c r="B46" s="15" t="s">
        <v>325</v>
      </c>
      <c r="C46" s="15" t="s">
        <v>31</v>
      </c>
      <c r="D46" s="15" t="s">
        <v>154</v>
      </c>
      <c r="E46" s="15" t="s">
        <v>326</v>
      </c>
      <c r="F46" s="21" t="n">
        <v>43282</v>
      </c>
      <c r="G46" s="22" t="n">
        <v>48</v>
      </c>
      <c r="H46" s="15" t="s">
        <v>327</v>
      </c>
    </row>
    <row r="47" customFormat="false" ht="15" hidden="false" customHeight="false" outlineLevel="0" collapsed="false">
      <c r="A47" s="15" t="s">
        <v>328</v>
      </c>
      <c r="B47" s="15" t="s">
        <v>329</v>
      </c>
      <c r="C47" s="15" t="s">
        <v>26</v>
      </c>
      <c r="D47" s="15" t="s">
        <v>207</v>
      </c>
      <c r="E47" s="15" t="s">
        <v>172</v>
      </c>
      <c r="F47" s="21" t="n">
        <v>45037</v>
      </c>
      <c r="G47" s="22" t="n">
        <v>32</v>
      </c>
      <c r="H47" s="15" t="s">
        <v>330</v>
      </c>
    </row>
    <row r="48" customFormat="false" ht="15" hidden="false" customHeight="false" outlineLevel="0" collapsed="false">
      <c r="A48" s="15" t="s">
        <v>331</v>
      </c>
      <c r="B48" s="15" t="s">
        <v>332</v>
      </c>
      <c r="C48" s="15" t="s">
        <v>28</v>
      </c>
      <c r="D48" s="15" t="s">
        <v>207</v>
      </c>
      <c r="E48" s="15" t="s">
        <v>172</v>
      </c>
      <c r="F48" s="21" t="n">
        <v>42845</v>
      </c>
      <c r="G48" s="22" t="n">
        <v>32</v>
      </c>
      <c r="H48" s="15" t="s">
        <v>333</v>
      </c>
    </row>
    <row r="49" customFormat="false" ht="15" hidden="false" customHeight="false" outlineLevel="0" collapsed="false">
      <c r="A49" s="15" t="s">
        <v>334</v>
      </c>
      <c r="B49" s="15" t="s">
        <v>301</v>
      </c>
      <c r="C49" s="15" t="s">
        <v>29</v>
      </c>
      <c r="D49" s="15" t="s">
        <v>265</v>
      </c>
      <c r="E49" s="15" t="s">
        <v>184</v>
      </c>
      <c r="F49" s="21" t="n">
        <v>44229</v>
      </c>
      <c r="G49" s="22" t="n">
        <v>34</v>
      </c>
      <c r="H49" s="15" t="s">
        <v>302</v>
      </c>
    </row>
    <row r="50" customFormat="false" ht="15" hidden="false" customHeight="false" outlineLevel="0" collapsed="false">
      <c r="A50" s="15" t="s">
        <v>335</v>
      </c>
      <c r="B50" s="15" t="s">
        <v>336</v>
      </c>
      <c r="C50" s="15" t="s">
        <v>29</v>
      </c>
      <c r="D50" s="15" t="s">
        <v>154</v>
      </c>
      <c r="E50" s="15" t="s">
        <v>181</v>
      </c>
      <c r="F50" s="21" t="n">
        <v>42377</v>
      </c>
      <c r="G50" s="22" t="n">
        <v>48</v>
      </c>
      <c r="H50" s="15" t="s">
        <v>337</v>
      </c>
    </row>
    <row r="51" customFormat="false" ht="15" hidden="false" customHeight="false" outlineLevel="0" collapsed="false">
      <c r="A51" s="15" t="s">
        <v>338</v>
      </c>
      <c r="B51" s="15" t="s">
        <v>339</v>
      </c>
      <c r="C51" s="15" t="s">
        <v>29</v>
      </c>
      <c r="D51" s="15" t="s">
        <v>219</v>
      </c>
      <c r="E51" s="15" t="s">
        <v>178</v>
      </c>
      <c r="F51" s="21" t="n">
        <v>42689</v>
      </c>
      <c r="G51" s="22" t="n">
        <v>41</v>
      </c>
      <c r="H51" s="15" t="s">
        <v>340</v>
      </c>
    </row>
    <row r="52" customFormat="false" ht="15" hidden="false" customHeight="false" outlineLevel="0" collapsed="false">
      <c r="A52" s="15" t="s">
        <v>341</v>
      </c>
      <c r="B52" s="15" t="s">
        <v>342</v>
      </c>
      <c r="C52" s="15" t="s">
        <v>28</v>
      </c>
      <c r="D52" s="15" t="s">
        <v>203</v>
      </c>
      <c r="E52" s="15" t="s">
        <v>175</v>
      </c>
      <c r="F52" s="21" t="n">
        <v>45196</v>
      </c>
      <c r="G52" s="22" t="n">
        <v>36</v>
      </c>
      <c r="H52" s="15" t="s">
        <v>343</v>
      </c>
    </row>
    <row r="53" customFormat="false" ht="15" hidden="false" customHeight="false" outlineLevel="0" collapsed="false">
      <c r="A53" s="15" t="s">
        <v>344</v>
      </c>
      <c r="B53" s="15" t="s">
        <v>345</v>
      </c>
      <c r="C53" s="15" t="s">
        <v>28</v>
      </c>
      <c r="D53" s="15" t="s">
        <v>203</v>
      </c>
      <c r="E53" s="15" t="s">
        <v>175</v>
      </c>
      <c r="F53" s="21" t="n">
        <v>45234</v>
      </c>
      <c r="G53" s="22" t="n">
        <v>36</v>
      </c>
      <c r="H53" s="15" t="s">
        <v>346</v>
      </c>
    </row>
    <row r="54" customFormat="false" ht="15" hidden="false" customHeight="false" outlineLevel="0" collapsed="false">
      <c r="A54" s="15" t="s">
        <v>347</v>
      </c>
      <c r="B54" s="15" t="s">
        <v>348</v>
      </c>
      <c r="C54" s="15" t="s">
        <v>28</v>
      </c>
      <c r="D54" s="15" t="s">
        <v>265</v>
      </c>
      <c r="E54" s="15" t="s">
        <v>184</v>
      </c>
      <c r="F54" s="21" t="n">
        <v>45356</v>
      </c>
      <c r="G54" s="22" t="n">
        <v>34</v>
      </c>
      <c r="H54" s="15" t="s">
        <v>349</v>
      </c>
    </row>
    <row r="55" customFormat="false" ht="15" hidden="false" customHeight="false" outlineLevel="0" collapsed="false">
      <c r="A55" s="15" t="s">
        <v>350</v>
      </c>
      <c r="B55" s="15" t="s">
        <v>351</v>
      </c>
      <c r="C55" s="15" t="s">
        <v>28</v>
      </c>
      <c r="D55" s="15" t="s">
        <v>203</v>
      </c>
      <c r="E55" s="15" t="s">
        <v>175</v>
      </c>
      <c r="F55" s="21" t="n">
        <v>44023</v>
      </c>
      <c r="G55" s="22" t="n">
        <v>540</v>
      </c>
      <c r="H55" s="15" t="s">
        <v>352</v>
      </c>
    </row>
    <row r="56" customFormat="false" ht="15" hidden="false" customHeight="false" outlineLevel="0" collapsed="false">
      <c r="A56" s="15" t="s">
        <v>353</v>
      </c>
      <c r="B56" s="15" t="s">
        <v>354</v>
      </c>
      <c r="C56" s="15" t="s">
        <v>26</v>
      </c>
      <c r="D56" s="15" t="s">
        <v>203</v>
      </c>
      <c r="E56" s="15" t="s">
        <v>175</v>
      </c>
      <c r="F56" s="21" t="n">
        <v>43149</v>
      </c>
      <c r="G56" s="22" t="n">
        <v>36</v>
      </c>
      <c r="H56" s="15" t="s">
        <v>355</v>
      </c>
    </row>
    <row r="57" customFormat="false" ht="15" hidden="false" customHeight="false" outlineLevel="0" collapsed="false">
      <c r="A57" s="15" t="s">
        <v>356</v>
      </c>
      <c r="B57" s="15" t="s">
        <v>357</v>
      </c>
      <c r="C57" s="15" t="s">
        <v>28</v>
      </c>
      <c r="D57" s="15" t="s">
        <v>203</v>
      </c>
      <c r="E57" s="15" t="s">
        <v>175</v>
      </c>
      <c r="F57" s="21" t="n">
        <v>43415</v>
      </c>
      <c r="G57" s="22" t="n">
        <v>36</v>
      </c>
      <c r="H57" s="15" t="s">
        <v>358</v>
      </c>
    </row>
    <row r="58" customFormat="false" ht="15" hidden="false" customHeight="false" outlineLevel="0" collapsed="false">
      <c r="A58" s="15" t="s">
        <v>359</v>
      </c>
      <c r="B58" s="15" t="s">
        <v>360</v>
      </c>
      <c r="C58" s="15" t="s">
        <v>29</v>
      </c>
      <c r="D58" s="15" t="s">
        <v>203</v>
      </c>
      <c r="E58" s="15" t="s">
        <v>175</v>
      </c>
      <c r="F58" s="21" t="n">
        <v>42908</v>
      </c>
      <c r="G58" s="22" t="n">
        <v>36</v>
      </c>
      <c r="H58" s="15" t="s">
        <v>361</v>
      </c>
    </row>
    <row r="59" customFormat="false" ht="15" hidden="false" customHeight="false" outlineLevel="0" collapsed="false">
      <c r="A59" s="15" t="s">
        <v>362</v>
      </c>
      <c r="B59" s="15" t="s">
        <v>363</v>
      </c>
      <c r="C59" s="15" t="s">
        <v>31</v>
      </c>
      <c r="D59" s="15" t="s">
        <v>207</v>
      </c>
      <c r="E59" s="15" t="s">
        <v>172</v>
      </c>
      <c r="F59" s="21" t="n">
        <v>42842</v>
      </c>
      <c r="G59" s="22" t="n">
        <v>32</v>
      </c>
      <c r="H59" s="15" t="s">
        <v>364</v>
      </c>
    </row>
    <row r="60" customFormat="false" ht="15" hidden="false" customHeight="false" outlineLevel="0" collapsed="false">
      <c r="A60" s="15" t="s">
        <v>365</v>
      </c>
      <c r="B60" s="15" t="s">
        <v>366</v>
      </c>
      <c r="C60" s="15" t="s">
        <v>26</v>
      </c>
      <c r="D60" s="15" t="s">
        <v>203</v>
      </c>
      <c r="E60" s="15" t="s">
        <v>175</v>
      </c>
      <c r="F60" s="21" t="n">
        <v>43414</v>
      </c>
      <c r="G60" s="22" t="n">
        <v>36</v>
      </c>
      <c r="H60" s="15" t="s">
        <v>367</v>
      </c>
    </row>
    <row r="61" customFormat="false" ht="15" hidden="false" customHeight="false" outlineLevel="0" collapsed="false">
      <c r="A61" s="15" t="s">
        <v>368</v>
      </c>
      <c r="B61" s="15" t="s">
        <v>369</v>
      </c>
      <c r="C61" s="15" t="s">
        <v>26</v>
      </c>
      <c r="D61" s="15" t="s">
        <v>219</v>
      </c>
      <c r="E61" s="15" t="s">
        <v>178</v>
      </c>
      <c r="F61" s="21" t="n">
        <v>42496</v>
      </c>
      <c r="G61" s="22" t="n">
        <v>41</v>
      </c>
      <c r="H61" s="15" t="s">
        <v>370</v>
      </c>
    </row>
    <row r="62" customFormat="false" ht="15" hidden="false" customHeight="false" outlineLevel="0" collapsed="false">
      <c r="A62" s="15" t="s">
        <v>371</v>
      </c>
      <c r="B62" s="15" t="s">
        <v>372</v>
      </c>
      <c r="C62" s="15" t="s">
        <v>28</v>
      </c>
      <c r="D62" s="15" t="s">
        <v>154</v>
      </c>
      <c r="E62" s="15" t="s">
        <v>181</v>
      </c>
      <c r="F62" s="21" t="n">
        <v>43782</v>
      </c>
      <c r="G62" s="22" t="n">
        <v>48</v>
      </c>
      <c r="H62" s="15" t="s">
        <v>373</v>
      </c>
    </row>
    <row r="63" customFormat="false" ht="15" hidden="false" customHeight="false" outlineLevel="0" collapsed="false">
      <c r="A63" s="15" t="s">
        <v>374</v>
      </c>
      <c r="B63" s="15" t="s">
        <v>375</v>
      </c>
      <c r="C63" s="15" t="s">
        <v>29</v>
      </c>
      <c r="D63" s="15" t="s">
        <v>219</v>
      </c>
      <c r="E63" s="15" t="s">
        <v>178</v>
      </c>
      <c r="F63" s="21" t="n">
        <v>44961</v>
      </c>
      <c r="G63" s="22" t="n">
        <v>41</v>
      </c>
      <c r="H63" s="15" t="s">
        <v>376</v>
      </c>
    </row>
    <row r="64" customFormat="false" ht="15" hidden="false" customHeight="false" outlineLevel="0" collapsed="false">
      <c r="A64" s="15" t="s">
        <v>377</v>
      </c>
      <c r="B64" s="15" t="s">
        <v>378</v>
      </c>
      <c r="C64" s="15" t="s">
        <v>31</v>
      </c>
      <c r="D64" s="15" t="s">
        <v>203</v>
      </c>
      <c r="E64" s="15" t="s">
        <v>175</v>
      </c>
      <c r="F64" s="21" t="n">
        <v>44973</v>
      </c>
      <c r="G64" s="22" t="n">
        <v>36</v>
      </c>
      <c r="H64" s="15" t="s">
        <v>379</v>
      </c>
    </row>
    <row r="65" customFormat="false" ht="15" hidden="false" customHeight="false" outlineLevel="0" collapsed="false">
      <c r="A65" s="15" t="s">
        <v>221</v>
      </c>
      <c r="B65" s="15" t="s">
        <v>222</v>
      </c>
      <c r="C65" s="15" t="s">
        <v>28</v>
      </c>
      <c r="D65" s="15" t="s">
        <v>207</v>
      </c>
      <c r="E65" s="15" t="s">
        <v>172</v>
      </c>
      <c r="F65" s="21" t="n">
        <v>42550</v>
      </c>
      <c r="G65" s="22" t="n">
        <v>32</v>
      </c>
      <c r="H65" s="15" t="s">
        <v>223</v>
      </c>
    </row>
    <row r="66" customFormat="false" ht="15" hidden="false" customHeight="false" outlineLevel="0" collapsed="false">
      <c r="A66" s="15" t="s">
        <v>270</v>
      </c>
      <c r="B66" s="15" t="s">
        <v>271</v>
      </c>
      <c r="C66" s="15" t="s">
        <v>29</v>
      </c>
      <c r="D66" s="15" t="s">
        <v>219</v>
      </c>
      <c r="E66" s="15" t="s">
        <v>178</v>
      </c>
      <c r="F66" s="21" t="n">
        <v>44743</v>
      </c>
      <c r="G66" s="22" t="n">
        <v>41</v>
      </c>
      <c r="H66" s="15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34"/>
  </cols>
  <sheetData>
    <row r="1" customFormat="false" ht="19.7" hidden="false" customHeight="false" outlineLevel="0" collapsed="false">
      <c r="A1" s="1" t="s">
        <v>380</v>
      </c>
    </row>
    <row r="2" customFormat="false" ht="15" hidden="false" customHeight="false" outlineLevel="0" collapsed="false">
      <c r="A2" s="2" t="s">
        <v>381</v>
      </c>
    </row>
    <row r="4" customFormat="false" ht="15" hidden="false" customHeight="false" outlineLevel="0" collapsed="false">
      <c r="A4" s="14" t="s">
        <v>195</v>
      </c>
      <c r="B4" s="14" t="s">
        <v>196</v>
      </c>
      <c r="C4" s="14" t="s">
        <v>19</v>
      </c>
      <c r="D4" s="14" t="s">
        <v>197</v>
      </c>
      <c r="E4" s="14" t="s">
        <v>164</v>
      </c>
      <c r="F4" s="14" t="s">
        <v>198</v>
      </c>
      <c r="G4" s="14" t="s">
        <v>199</v>
      </c>
      <c r="H4" s="14" t="s">
        <v>200</v>
      </c>
      <c r="I4" s="5" t="s">
        <v>382</v>
      </c>
    </row>
    <row r="5" customFormat="false" ht="15" hidden="false" customHeight="false" outlineLevel="0" collapsed="false">
      <c r="A5" s="15" t="s">
        <v>201</v>
      </c>
      <c r="B5" s="15" t="s">
        <v>202</v>
      </c>
      <c r="C5" s="15" t="s">
        <v>28</v>
      </c>
      <c r="D5" s="15" t="s">
        <v>203</v>
      </c>
      <c r="E5" s="15" t="s">
        <v>175</v>
      </c>
      <c r="F5" s="21" t="n">
        <v>42202</v>
      </c>
      <c r="G5" s="22" t="n">
        <v>36</v>
      </c>
      <c r="H5" s="15" t="s">
        <v>204</v>
      </c>
      <c r="I5" s="23" t="str">
        <f aca="false">IF(COUNTIF(Legacy_Employees!$A$5:$A$66,A5)=0,"Orphan","OK")</f>
        <v>OK</v>
      </c>
    </row>
    <row r="6" customFormat="false" ht="15" hidden="false" customHeight="false" outlineLevel="0" collapsed="false">
      <c r="A6" s="15" t="s">
        <v>205</v>
      </c>
      <c r="B6" s="15" t="s">
        <v>206</v>
      </c>
      <c r="C6" s="15" t="s">
        <v>26</v>
      </c>
      <c r="D6" s="15" t="s">
        <v>207</v>
      </c>
      <c r="E6" s="15" t="s">
        <v>172</v>
      </c>
      <c r="F6" s="21" t="n">
        <v>42242</v>
      </c>
      <c r="G6" s="22" t="n">
        <v>32</v>
      </c>
      <c r="H6" s="15" t="s">
        <v>208</v>
      </c>
      <c r="I6" s="23" t="str">
        <f aca="false">IF(COUNTIF(Legacy_Employees!$A$5:$A$66,A6)=0,"Orphan","OK")</f>
        <v>OK</v>
      </c>
    </row>
    <row r="7" customFormat="false" ht="15" hidden="false" customHeight="false" outlineLevel="0" collapsed="false">
      <c r="A7" s="15" t="s">
        <v>212</v>
      </c>
      <c r="B7" s="15" t="s">
        <v>213</v>
      </c>
      <c r="C7" s="15" t="s">
        <v>28</v>
      </c>
      <c r="D7" s="15" t="s">
        <v>203</v>
      </c>
      <c r="E7" s="15" t="s">
        <v>175</v>
      </c>
      <c r="F7" s="21" t="n">
        <v>43743</v>
      </c>
      <c r="G7" s="22" t="n">
        <v>36</v>
      </c>
      <c r="H7" s="15" t="s">
        <v>214</v>
      </c>
      <c r="I7" s="23" t="str">
        <f aca="false">IF(COUNTIF(Legacy_Employees!$A$5:$A$66,A7)=0,"Orphan","OK")</f>
        <v>OK</v>
      </c>
    </row>
    <row r="8" customFormat="false" ht="15" hidden="false" customHeight="false" outlineLevel="0" collapsed="false">
      <c r="A8" s="15" t="s">
        <v>215</v>
      </c>
      <c r="B8" s="15" t="s">
        <v>216</v>
      </c>
      <c r="C8" s="15" t="s">
        <v>26</v>
      </c>
      <c r="D8" s="15" t="s">
        <v>207</v>
      </c>
      <c r="E8" s="15" t="s">
        <v>172</v>
      </c>
      <c r="F8" s="21" t="n">
        <v>44574</v>
      </c>
      <c r="G8" s="22" t="n">
        <v>32</v>
      </c>
      <c r="H8" s="15"/>
      <c r="I8" s="23" t="str">
        <f aca="false">IF(COUNTIF(Legacy_Employees!$A$5:$A$66,A8)=0,"Orphan","OK")</f>
        <v>OK</v>
      </c>
    </row>
    <row r="9" customFormat="false" ht="15" hidden="false" customHeight="false" outlineLevel="0" collapsed="false">
      <c r="A9" s="15" t="s">
        <v>217</v>
      </c>
      <c r="B9" s="15" t="s">
        <v>218</v>
      </c>
      <c r="C9" s="15" t="s">
        <v>26</v>
      </c>
      <c r="D9" s="15" t="s">
        <v>219</v>
      </c>
      <c r="E9" s="15" t="s">
        <v>178</v>
      </c>
      <c r="F9" s="21" t="n">
        <v>43629</v>
      </c>
      <c r="G9" s="22" t="n">
        <v>45.1</v>
      </c>
      <c r="H9" s="15" t="s">
        <v>220</v>
      </c>
      <c r="I9" s="23" t="str">
        <f aca="false">IF(COUNTIF(Legacy_Employees!$A$5:$A$66,A9)=0,"Orphan","OK")</f>
        <v>OK</v>
      </c>
    </row>
    <row r="10" customFormat="false" ht="15" hidden="false" customHeight="false" outlineLevel="0" collapsed="false">
      <c r="A10" s="15" t="s">
        <v>221</v>
      </c>
      <c r="B10" s="15" t="s">
        <v>222</v>
      </c>
      <c r="C10" s="15" t="s">
        <v>28</v>
      </c>
      <c r="D10" s="15" t="s">
        <v>207</v>
      </c>
      <c r="E10" s="15" t="s">
        <v>172</v>
      </c>
      <c r="F10" s="21" t="n">
        <v>42550</v>
      </c>
      <c r="G10" s="22" t="n">
        <v>32</v>
      </c>
      <c r="H10" s="15" t="s">
        <v>223</v>
      </c>
      <c r="I10" s="23" t="str">
        <f aca="false">IF(COUNTIF(Legacy_Employees!$A$5:$A$66,A10)=0,"Orphan","OK")</f>
        <v>OK</v>
      </c>
    </row>
    <row r="11" customFormat="false" ht="15" hidden="false" customHeight="false" outlineLevel="0" collapsed="false">
      <c r="A11" s="15" t="s">
        <v>224</v>
      </c>
      <c r="B11" s="15" t="s">
        <v>225</v>
      </c>
      <c r="C11" s="15" t="s">
        <v>28</v>
      </c>
      <c r="D11" s="15" t="s">
        <v>203</v>
      </c>
      <c r="E11" s="15" t="s">
        <v>175</v>
      </c>
      <c r="F11" s="21" t="n">
        <v>44343</v>
      </c>
      <c r="G11" s="22" t="n">
        <v>36</v>
      </c>
      <c r="H11" s="15" t="s">
        <v>226</v>
      </c>
      <c r="I11" s="23" t="str">
        <f aca="false">IF(COUNTIF(Legacy_Employees!$A$5:$A$66,A11)=0,"Orphan","OK")</f>
        <v>OK</v>
      </c>
    </row>
    <row r="12" customFormat="false" ht="15" hidden="false" customHeight="false" outlineLevel="0" collapsed="false">
      <c r="A12" s="15" t="s">
        <v>227</v>
      </c>
      <c r="B12" s="15" t="s">
        <v>228</v>
      </c>
      <c r="C12" s="15" t="s">
        <v>28</v>
      </c>
      <c r="D12" s="15" t="s">
        <v>203</v>
      </c>
      <c r="E12" s="15" t="s">
        <v>172</v>
      </c>
      <c r="F12" s="21" t="n">
        <v>44344</v>
      </c>
      <c r="G12" s="22" t="n">
        <v>36</v>
      </c>
      <c r="H12" s="15" t="s">
        <v>229</v>
      </c>
      <c r="I12" s="23" t="str">
        <f aca="false">IF(COUNTIF(Legacy_Employees!$A$5:$A$66,A12)=0,"Orphan","OK")</f>
        <v>OK</v>
      </c>
    </row>
    <row r="13" customFormat="false" ht="15" hidden="false" customHeight="false" outlineLevel="0" collapsed="false">
      <c r="A13" s="15" t="s">
        <v>230</v>
      </c>
      <c r="B13" s="15" t="s">
        <v>231</v>
      </c>
      <c r="C13" s="15" t="s">
        <v>29</v>
      </c>
      <c r="D13" s="15" t="s">
        <v>219</v>
      </c>
      <c r="E13" s="15" t="s">
        <v>232</v>
      </c>
      <c r="F13" s="21" t="n">
        <v>44921</v>
      </c>
      <c r="G13" s="22" t="n">
        <v>41</v>
      </c>
      <c r="H13" s="15" t="s">
        <v>233</v>
      </c>
      <c r="I13" s="23" t="str">
        <f aca="false">IF(COUNTIF(Legacy_Employees!$A$5:$A$66,A13)=0,"Orphan","OK")</f>
        <v>OK</v>
      </c>
    </row>
    <row r="14" customFormat="false" ht="15" hidden="false" customHeight="false" outlineLevel="0" collapsed="false">
      <c r="A14" s="15" t="s">
        <v>234</v>
      </c>
      <c r="B14" s="15" t="s">
        <v>235</v>
      </c>
      <c r="C14" s="15" t="s">
        <v>26</v>
      </c>
      <c r="D14" s="15" t="s">
        <v>207</v>
      </c>
      <c r="E14" s="15" t="s">
        <v>172</v>
      </c>
      <c r="F14" s="21" t="n">
        <v>44038</v>
      </c>
      <c r="G14" s="22" t="n">
        <v>32</v>
      </c>
      <c r="H14" s="15" t="s">
        <v>236</v>
      </c>
      <c r="I14" s="23" t="str">
        <f aca="false">IF(COUNTIF(Legacy_Employees!$A$5:$A$66,A14)=0,"Orphan","OK")</f>
        <v>OK</v>
      </c>
    </row>
    <row r="15" customFormat="false" ht="15" hidden="false" customHeight="false" outlineLevel="0" collapsed="false">
      <c r="A15" s="15" t="s">
        <v>237</v>
      </c>
      <c r="B15" s="15" t="s">
        <v>238</v>
      </c>
      <c r="C15" s="15" t="s">
        <v>31</v>
      </c>
      <c r="D15" s="15" t="s">
        <v>219</v>
      </c>
      <c r="E15" s="15" t="s">
        <v>178</v>
      </c>
      <c r="F15" s="21" t="n">
        <v>43912</v>
      </c>
      <c r="G15" s="22" t="n">
        <v>45.1</v>
      </c>
      <c r="H15" s="15" t="s">
        <v>239</v>
      </c>
      <c r="I15" s="23" t="str">
        <f aca="false">IF(COUNTIF(Legacy_Employees!$A$5:$A$66,A15)=0,"Orphan","OK")</f>
        <v>OK</v>
      </c>
    </row>
    <row r="16" customFormat="false" ht="15" hidden="false" customHeight="false" outlineLevel="0" collapsed="false">
      <c r="A16" s="15" t="s">
        <v>240</v>
      </c>
      <c r="B16" s="15" t="s">
        <v>241</v>
      </c>
      <c r="C16" s="15" t="s">
        <v>31</v>
      </c>
      <c r="D16" s="15" t="s">
        <v>219</v>
      </c>
      <c r="E16" s="15" t="s">
        <v>178</v>
      </c>
      <c r="F16" s="21" t="n">
        <v>43022</v>
      </c>
      <c r="G16" s="22" t="n">
        <v>0</v>
      </c>
      <c r="H16" s="15" t="s">
        <v>242</v>
      </c>
      <c r="I16" s="23" t="str">
        <f aca="false">IF(COUNTIF(Legacy_Employees!$A$5:$A$66,A16)=0,"Orphan","OK")</f>
        <v>OK</v>
      </c>
    </row>
    <row r="17" customFormat="false" ht="15" hidden="false" customHeight="false" outlineLevel="0" collapsed="false">
      <c r="A17" s="15" t="s">
        <v>243</v>
      </c>
      <c r="B17" s="15" t="s">
        <v>244</v>
      </c>
      <c r="C17" s="15" t="s">
        <v>28</v>
      </c>
      <c r="D17" s="15" t="s">
        <v>219</v>
      </c>
      <c r="E17" s="15" t="s">
        <v>178</v>
      </c>
      <c r="F17" s="21" t="n">
        <v>43234</v>
      </c>
      <c r="G17" s="22" t="n">
        <v>41</v>
      </c>
      <c r="H17" s="15" t="s">
        <v>245</v>
      </c>
      <c r="I17" s="23" t="str">
        <f aca="false">IF(COUNTIF(Legacy_Employees!$A$5:$A$66,A17)=0,"Orphan","OK")</f>
        <v>OK</v>
      </c>
    </row>
    <row r="18" customFormat="false" ht="15" hidden="false" customHeight="false" outlineLevel="0" collapsed="false">
      <c r="A18" s="15" t="s">
        <v>246</v>
      </c>
      <c r="B18" s="15" t="s">
        <v>247</v>
      </c>
      <c r="C18" s="15" t="s">
        <v>29</v>
      </c>
      <c r="D18" s="15" t="s">
        <v>203</v>
      </c>
      <c r="E18" s="15" t="s">
        <v>175</v>
      </c>
      <c r="F18" s="21" t="n">
        <v>43184</v>
      </c>
      <c r="G18" s="22" t="n">
        <v>36</v>
      </c>
      <c r="H18" s="15" t="s">
        <v>248</v>
      </c>
      <c r="I18" s="23" t="str">
        <f aca="false">IF(COUNTIF(Legacy_Employees!$A$5:$A$66,A18)=0,"Orphan","OK")</f>
        <v>OK</v>
      </c>
    </row>
    <row r="19" customFormat="false" ht="15" hidden="false" customHeight="false" outlineLevel="0" collapsed="false">
      <c r="A19" s="15" t="s">
        <v>252</v>
      </c>
      <c r="B19" s="15" t="s">
        <v>253</v>
      </c>
      <c r="C19" s="15" t="s">
        <v>29</v>
      </c>
      <c r="D19" s="15" t="s">
        <v>207</v>
      </c>
      <c r="E19" s="15" t="s">
        <v>172</v>
      </c>
      <c r="F19" s="21" t="n">
        <v>43732</v>
      </c>
      <c r="G19" s="22" t="n">
        <v>32</v>
      </c>
      <c r="H19" s="15" t="s">
        <v>254</v>
      </c>
      <c r="I19" s="23" t="str">
        <f aca="false">IF(COUNTIF(Legacy_Employees!$A$5:$A$66,A19)=0,"Orphan","OK")</f>
        <v>OK</v>
      </c>
    </row>
    <row r="20" customFormat="false" ht="15" hidden="false" customHeight="false" outlineLevel="0" collapsed="false">
      <c r="A20" s="15" t="s">
        <v>255</v>
      </c>
      <c r="B20" s="15" t="s">
        <v>256</v>
      </c>
      <c r="C20" s="15" t="s">
        <v>26</v>
      </c>
      <c r="D20" s="15" t="s">
        <v>207</v>
      </c>
      <c r="E20" s="15" t="s">
        <v>172</v>
      </c>
      <c r="F20" s="21" t="n">
        <v>44352</v>
      </c>
      <c r="G20" s="22" t="n">
        <v>32</v>
      </c>
      <c r="H20" s="15"/>
      <c r="I20" s="23" t="str">
        <f aca="false">IF(COUNTIF(Legacy_Employees!$A$5:$A$66,A20)=0,"Orphan","OK")</f>
        <v>OK</v>
      </c>
    </row>
    <row r="21" customFormat="false" ht="15" hidden="false" customHeight="false" outlineLevel="0" collapsed="false">
      <c r="A21" s="15" t="s">
        <v>257</v>
      </c>
      <c r="B21" s="15" t="s">
        <v>258</v>
      </c>
      <c r="C21" s="15" t="s">
        <v>29</v>
      </c>
      <c r="D21" s="15" t="s">
        <v>219</v>
      </c>
      <c r="E21" s="15" t="s">
        <v>178</v>
      </c>
      <c r="F21" s="21" t="n">
        <v>43439</v>
      </c>
      <c r="G21" s="22" t="n">
        <v>41</v>
      </c>
      <c r="H21" s="15" t="s">
        <v>259</v>
      </c>
      <c r="I21" s="23" t="str">
        <f aca="false">IF(COUNTIF(Legacy_Employees!$A$5:$A$66,A21)=0,"Orphan","OK")</f>
        <v>OK</v>
      </c>
    </row>
    <row r="22" customFormat="false" ht="15" hidden="false" customHeight="false" outlineLevel="0" collapsed="false">
      <c r="A22" s="15" t="s">
        <v>260</v>
      </c>
      <c r="B22" s="15" t="s">
        <v>261</v>
      </c>
      <c r="C22" s="15" t="s">
        <v>31</v>
      </c>
      <c r="D22" s="15" t="s">
        <v>219</v>
      </c>
      <c r="E22" s="15" t="s">
        <v>175</v>
      </c>
      <c r="F22" s="21" t="n">
        <v>42388</v>
      </c>
      <c r="G22" s="22" t="n">
        <v>41</v>
      </c>
      <c r="H22" s="15" t="s">
        <v>262</v>
      </c>
      <c r="I22" s="23" t="str">
        <f aca="false">IF(COUNTIF(Legacy_Employees!$A$5:$A$66,A22)=0,"Orphan","OK")</f>
        <v>OK</v>
      </c>
    </row>
    <row r="23" customFormat="false" ht="15" hidden="false" customHeight="false" outlineLevel="0" collapsed="false">
      <c r="A23" s="15" t="s">
        <v>263</v>
      </c>
      <c r="B23" s="15" t="s">
        <v>264</v>
      </c>
      <c r="C23" s="15" t="s">
        <v>31</v>
      </c>
      <c r="D23" s="15" t="s">
        <v>265</v>
      </c>
      <c r="E23" s="15" t="s">
        <v>184</v>
      </c>
      <c r="F23" s="21" t="n">
        <v>42271</v>
      </c>
      <c r="G23" s="22" t="n">
        <v>34</v>
      </c>
      <c r="H23" s="15" t="s">
        <v>266</v>
      </c>
      <c r="I23" s="23" t="str">
        <f aca="false">IF(COUNTIF(Legacy_Employees!$A$5:$A$66,A23)=0,"Orphan","OK")</f>
        <v>OK</v>
      </c>
    </row>
    <row r="24" customFormat="false" ht="15" hidden="false" customHeight="false" outlineLevel="0" collapsed="false">
      <c r="A24" s="15" t="s">
        <v>267</v>
      </c>
      <c r="B24" s="15" t="s">
        <v>268</v>
      </c>
      <c r="C24" s="15" t="s">
        <v>28</v>
      </c>
      <c r="D24" s="15" t="s">
        <v>207</v>
      </c>
      <c r="E24" s="15" t="s">
        <v>172</v>
      </c>
      <c r="F24" s="21" t="n">
        <v>44795</v>
      </c>
      <c r="G24" s="22" t="n">
        <v>32</v>
      </c>
      <c r="H24" s="15" t="s">
        <v>269</v>
      </c>
      <c r="I24" s="23" t="str">
        <f aca="false">IF(COUNTIF(Legacy_Employees!$A$5:$A$66,A24)=0,"Orphan","OK")</f>
        <v>OK</v>
      </c>
    </row>
    <row r="25" customFormat="false" ht="15" hidden="false" customHeight="false" outlineLevel="0" collapsed="false">
      <c r="A25" s="15" t="s">
        <v>270</v>
      </c>
      <c r="B25" s="15" t="s">
        <v>271</v>
      </c>
      <c r="C25" s="15" t="s">
        <v>29</v>
      </c>
      <c r="D25" s="15" t="s">
        <v>219</v>
      </c>
      <c r="E25" s="15" t="s">
        <v>178</v>
      </c>
      <c r="F25" s="21" t="n">
        <v>44743</v>
      </c>
      <c r="G25" s="22" t="n">
        <v>41</v>
      </c>
      <c r="H25" s="15" t="s">
        <v>272</v>
      </c>
      <c r="I25" s="23" t="str">
        <f aca="false">IF(COUNTIF(Legacy_Employees!$A$5:$A$66,A25)=0,"Orphan","OK")</f>
        <v>OK</v>
      </c>
    </row>
    <row r="26" customFormat="false" ht="15" hidden="false" customHeight="false" outlineLevel="0" collapsed="false">
      <c r="A26" s="15" t="s">
        <v>273</v>
      </c>
      <c r="B26" s="15" t="s">
        <v>274</v>
      </c>
      <c r="C26" s="15" t="s">
        <v>31</v>
      </c>
      <c r="D26" s="15" t="s">
        <v>203</v>
      </c>
      <c r="E26" s="15" t="s">
        <v>175</v>
      </c>
      <c r="F26" s="21" t="n">
        <v>44507</v>
      </c>
      <c r="G26" s="22" t="n">
        <v>36</v>
      </c>
      <c r="H26" s="15" t="s">
        <v>275</v>
      </c>
      <c r="I26" s="23" t="str">
        <f aca="false">IF(COUNTIF(Legacy_Employees!$A$5:$A$66,A26)=0,"Orphan","OK")</f>
        <v>OK</v>
      </c>
    </row>
    <row r="27" customFormat="false" ht="15" hidden="false" customHeight="false" outlineLevel="0" collapsed="false">
      <c r="A27" s="15" t="s">
        <v>276</v>
      </c>
      <c r="B27" s="15" t="s">
        <v>277</v>
      </c>
      <c r="C27" s="15" t="s">
        <v>26</v>
      </c>
      <c r="D27" s="15" t="s">
        <v>207</v>
      </c>
      <c r="E27" s="15" t="s">
        <v>172</v>
      </c>
      <c r="F27" s="21" t="n">
        <v>43182</v>
      </c>
      <c r="G27" s="22" t="n">
        <v>35.2</v>
      </c>
      <c r="H27" s="15" t="s">
        <v>278</v>
      </c>
      <c r="I27" s="23" t="str">
        <f aca="false">IF(COUNTIF(Legacy_Employees!$A$5:$A$66,A27)=0,"Orphan","OK")</f>
        <v>OK</v>
      </c>
    </row>
    <row r="28" customFormat="false" ht="15" hidden="false" customHeight="false" outlineLevel="0" collapsed="false">
      <c r="A28" s="15" t="s">
        <v>279</v>
      </c>
      <c r="B28" s="15" t="s">
        <v>280</v>
      </c>
      <c r="C28" s="15" t="s">
        <v>28</v>
      </c>
      <c r="D28" s="15" t="s">
        <v>207</v>
      </c>
      <c r="E28" s="15" t="s">
        <v>172</v>
      </c>
      <c r="F28" s="21" t="n">
        <v>44038</v>
      </c>
      <c r="G28" s="22" t="n">
        <v>32</v>
      </c>
      <c r="H28" s="15" t="s">
        <v>281</v>
      </c>
      <c r="I28" s="23" t="str">
        <f aca="false">IF(COUNTIF(Legacy_Employees!$A$5:$A$66,A28)=0,"Orphan","OK")</f>
        <v>OK</v>
      </c>
    </row>
    <row r="29" customFormat="false" ht="15" hidden="false" customHeight="false" outlineLevel="0" collapsed="false">
      <c r="A29" s="15" t="s">
        <v>282</v>
      </c>
      <c r="B29" s="15" t="s">
        <v>283</v>
      </c>
      <c r="C29" s="15" t="s">
        <v>31</v>
      </c>
      <c r="D29" s="15" t="s">
        <v>207</v>
      </c>
      <c r="E29" s="15" t="s">
        <v>172</v>
      </c>
      <c r="F29" s="21" t="n">
        <v>43143</v>
      </c>
      <c r="G29" s="22" t="n">
        <v>32</v>
      </c>
      <c r="H29" s="15" t="s">
        <v>284</v>
      </c>
      <c r="I29" s="23" t="str">
        <f aca="false">IF(COUNTIF(Legacy_Employees!$A$5:$A$66,A29)=0,"Orphan","OK")</f>
        <v>OK</v>
      </c>
    </row>
    <row r="30" customFormat="false" ht="15" hidden="false" customHeight="false" outlineLevel="0" collapsed="false">
      <c r="A30" s="15" t="s">
        <v>285</v>
      </c>
      <c r="B30" s="15" t="s">
        <v>286</v>
      </c>
      <c r="C30" s="15" t="s">
        <v>31</v>
      </c>
      <c r="D30" s="15" t="s">
        <v>154</v>
      </c>
      <c r="E30" s="15" t="s">
        <v>181</v>
      </c>
      <c r="F30" s="21" t="n">
        <v>46460</v>
      </c>
      <c r="G30" s="22" t="n">
        <v>48</v>
      </c>
      <c r="H30" s="15" t="s">
        <v>287</v>
      </c>
      <c r="I30" s="23" t="str">
        <f aca="false">IF(COUNTIF(Legacy_Employees!$A$5:$A$66,A30)=0,"Orphan","OK")</f>
        <v>OK</v>
      </c>
    </row>
    <row r="31" customFormat="false" ht="15" hidden="false" customHeight="false" outlineLevel="0" collapsed="false">
      <c r="A31" s="15" t="s">
        <v>288</v>
      </c>
      <c r="B31" s="15" t="s">
        <v>289</v>
      </c>
      <c r="C31" s="15" t="s">
        <v>29</v>
      </c>
      <c r="D31" s="15" t="s">
        <v>219</v>
      </c>
      <c r="E31" s="15" t="s">
        <v>178</v>
      </c>
      <c r="F31" s="21" t="n">
        <v>42950</v>
      </c>
      <c r="G31" s="22" t="n">
        <v>41</v>
      </c>
      <c r="H31" s="15" t="s">
        <v>290</v>
      </c>
      <c r="I31" s="23" t="str">
        <f aca="false">IF(COUNTIF(Legacy_Employees!$A$5:$A$66,A31)=0,"Orphan","OK")</f>
        <v>OK</v>
      </c>
    </row>
    <row r="32" customFormat="false" ht="15" hidden="false" customHeight="false" outlineLevel="0" collapsed="false">
      <c r="A32" s="15" t="s">
        <v>294</v>
      </c>
      <c r="B32" s="15" t="s">
        <v>295</v>
      </c>
      <c r="C32" s="15" t="s">
        <v>31</v>
      </c>
      <c r="D32" s="15" t="s">
        <v>207</v>
      </c>
      <c r="E32" s="15" t="s">
        <v>172</v>
      </c>
      <c r="F32" s="21" t="n">
        <v>42751</v>
      </c>
      <c r="G32" s="22" t="n">
        <v>32</v>
      </c>
      <c r="H32" s="15" t="s">
        <v>296</v>
      </c>
      <c r="I32" s="23" t="str">
        <f aca="false">IF(COUNTIF(Legacy_Employees!$A$5:$A$66,A32)=0,"Orphan","OK")</f>
        <v>OK</v>
      </c>
    </row>
    <row r="33" customFormat="false" ht="15" hidden="false" customHeight="false" outlineLevel="0" collapsed="false">
      <c r="A33" s="15" t="s">
        <v>297</v>
      </c>
      <c r="B33" s="15" t="s">
        <v>298</v>
      </c>
      <c r="C33" s="15" t="s">
        <v>26</v>
      </c>
      <c r="D33" s="15" t="s">
        <v>207</v>
      </c>
      <c r="E33" s="15" t="s">
        <v>172</v>
      </c>
      <c r="F33" s="21" t="n">
        <v>44194</v>
      </c>
      <c r="G33" s="22" t="n">
        <v>32</v>
      </c>
      <c r="H33" s="15" t="s">
        <v>299</v>
      </c>
      <c r="I33" s="23" t="str">
        <f aca="false">IF(COUNTIF(Legacy_Employees!$A$5:$A$66,A33)=0,"Orphan","OK")</f>
        <v>OK</v>
      </c>
    </row>
    <row r="34" customFormat="false" ht="15" hidden="false" customHeight="false" outlineLevel="0" collapsed="false">
      <c r="A34" s="15" t="s">
        <v>300</v>
      </c>
      <c r="B34" s="15" t="s">
        <v>301</v>
      </c>
      <c r="C34" s="15" t="s">
        <v>29</v>
      </c>
      <c r="D34" s="15" t="s">
        <v>203</v>
      </c>
      <c r="E34" s="15" t="s">
        <v>175</v>
      </c>
      <c r="F34" s="21" t="n">
        <v>44116</v>
      </c>
      <c r="G34" s="22" t="n">
        <v>36</v>
      </c>
      <c r="H34" s="15" t="s">
        <v>302</v>
      </c>
      <c r="I34" s="23" t="str">
        <f aca="false">IF(COUNTIF(Legacy_Employees!$A$5:$A$66,A34)=0,"Orphan","OK")</f>
        <v>OK</v>
      </c>
    </row>
    <row r="35" customFormat="false" ht="15" hidden="false" customHeight="false" outlineLevel="0" collapsed="false">
      <c r="A35" s="15" t="s">
        <v>303</v>
      </c>
      <c r="B35" s="15" t="s">
        <v>304</v>
      </c>
      <c r="C35" s="15" t="s">
        <v>26</v>
      </c>
      <c r="D35" s="15" t="s">
        <v>265</v>
      </c>
      <c r="E35" s="15" t="s">
        <v>184</v>
      </c>
      <c r="F35" s="21" t="n">
        <v>45199</v>
      </c>
      <c r="G35" s="22" t="n">
        <v>34</v>
      </c>
      <c r="H35" s="15"/>
      <c r="I35" s="23" t="str">
        <f aca="false">IF(COUNTIF(Legacy_Employees!$A$5:$A$66,A35)=0,"Orphan","OK")</f>
        <v>OK</v>
      </c>
    </row>
    <row r="36" customFormat="false" ht="15" hidden="false" customHeight="false" outlineLevel="0" collapsed="false">
      <c r="A36" s="15" t="s">
        <v>305</v>
      </c>
      <c r="B36" s="15" t="s">
        <v>280</v>
      </c>
      <c r="C36" s="15" t="s">
        <v>31</v>
      </c>
      <c r="D36" s="15" t="s">
        <v>265</v>
      </c>
      <c r="E36" s="15" t="s">
        <v>184</v>
      </c>
      <c r="F36" s="21" t="n">
        <v>43619</v>
      </c>
      <c r="G36" s="22" t="n">
        <v>34</v>
      </c>
      <c r="H36" s="15" t="s">
        <v>281</v>
      </c>
      <c r="I36" s="23" t="str">
        <f aca="false">IF(COUNTIF(Legacy_Employees!$A$5:$A$66,A36)=0,"Orphan","OK")</f>
        <v>OK</v>
      </c>
    </row>
    <row r="37" customFormat="false" ht="15" hidden="false" customHeight="false" outlineLevel="0" collapsed="false">
      <c r="A37" s="15" t="s">
        <v>306</v>
      </c>
      <c r="B37" s="15" t="s">
        <v>307</v>
      </c>
      <c r="C37" s="15" t="s">
        <v>31</v>
      </c>
      <c r="D37" s="15" t="s">
        <v>207</v>
      </c>
      <c r="E37" s="15" t="s">
        <v>172</v>
      </c>
      <c r="F37" s="21" t="n">
        <v>42280</v>
      </c>
      <c r="G37" s="22" t="n">
        <v>32</v>
      </c>
      <c r="H37" s="15" t="s">
        <v>308</v>
      </c>
      <c r="I37" s="23" t="str">
        <f aca="false">IF(COUNTIF(Legacy_Employees!$A$5:$A$66,A37)=0,"Orphan","OK")</f>
        <v>OK</v>
      </c>
    </row>
    <row r="38" customFormat="false" ht="15" hidden="false" customHeight="false" outlineLevel="0" collapsed="false">
      <c r="A38" s="15" t="s">
        <v>309</v>
      </c>
      <c r="B38" s="15" t="s">
        <v>310</v>
      </c>
      <c r="C38" s="15" t="s">
        <v>31</v>
      </c>
      <c r="D38" s="15" t="s">
        <v>265</v>
      </c>
      <c r="E38" s="15" t="s">
        <v>184</v>
      </c>
      <c r="F38" s="21" t="n">
        <v>43397</v>
      </c>
      <c r="G38" s="22" t="n">
        <v>34</v>
      </c>
      <c r="H38" s="15" t="s">
        <v>311</v>
      </c>
      <c r="I38" s="23" t="str">
        <f aca="false">IF(COUNTIF(Legacy_Employees!$A$5:$A$66,A38)=0,"Orphan","OK")</f>
        <v>OK</v>
      </c>
    </row>
    <row r="39" customFormat="false" ht="15" hidden="false" customHeight="false" outlineLevel="0" collapsed="false">
      <c r="A39" s="15" t="s">
        <v>312</v>
      </c>
      <c r="B39" s="15" t="s">
        <v>313</v>
      </c>
      <c r="C39" s="15" t="s">
        <v>26</v>
      </c>
      <c r="D39" s="15" t="s">
        <v>219</v>
      </c>
      <c r="E39" s="15" t="s">
        <v>178</v>
      </c>
      <c r="F39" s="21" t="n">
        <v>42624</v>
      </c>
      <c r="G39" s="22" t="n">
        <v>45.1</v>
      </c>
      <c r="H39" s="15" t="s">
        <v>314</v>
      </c>
      <c r="I39" s="23" t="str">
        <f aca="false">IF(COUNTIF(Legacy_Employees!$A$5:$A$66,A39)=0,"Orphan","OK")</f>
        <v>OK</v>
      </c>
    </row>
    <row r="40" customFormat="false" ht="15" hidden="false" customHeight="false" outlineLevel="0" collapsed="false">
      <c r="A40" s="15" t="s">
        <v>315</v>
      </c>
      <c r="B40" s="15" t="s">
        <v>316</v>
      </c>
      <c r="C40" s="15" t="s">
        <v>29</v>
      </c>
      <c r="D40" s="15" t="s">
        <v>203</v>
      </c>
      <c r="E40" s="15" t="s">
        <v>175</v>
      </c>
      <c r="F40" s="21" t="n">
        <v>42293</v>
      </c>
      <c r="G40" s="22" t="n">
        <v>36</v>
      </c>
      <c r="H40" s="15" t="s">
        <v>317</v>
      </c>
      <c r="I40" s="23" t="str">
        <f aca="false">IF(COUNTIF(Legacy_Employees!$A$5:$A$66,A40)=0,"Orphan","OK")</f>
        <v>OK</v>
      </c>
    </row>
    <row r="41" customFormat="false" ht="15" hidden="false" customHeight="false" outlineLevel="0" collapsed="false">
      <c r="A41" s="15" t="s">
        <v>318</v>
      </c>
      <c r="B41" s="15" t="s">
        <v>319</v>
      </c>
      <c r="C41" s="15" t="s">
        <v>31</v>
      </c>
      <c r="D41" s="15" t="s">
        <v>154</v>
      </c>
      <c r="E41" s="15" t="s">
        <v>181</v>
      </c>
      <c r="F41" s="21" t="n">
        <v>43038</v>
      </c>
      <c r="G41" s="22" t="n">
        <v>48</v>
      </c>
      <c r="H41" s="15" t="s">
        <v>320</v>
      </c>
      <c r="I41" s="23" t="str">
        <f aca="false">IF(COUNTIF(Legacy_Employees!$A$5:$A$66,A41)=0,"Orphan","OK")</f>
        <v>OK</v>
      </c>
    </row>
    <row r="42" customFormat="false" ht="15" hidden="false" customHeight="false" outlineLevel="0" collapsed="false">
      <c r="A42" s="15" t="s">
        <v>321</v>
      </c>
      <c r="B42" s="15" t="s">
        <v>322</v>
      </c>
      <c r="C42" s="15" t="s">
        <v>29</v>
      </c>
      <c r="D42" s="15" t="s">
        <v>265</v>
      </c>
      <c r="E42" s="15" t="s">
        <v>184</v>
      </c>
      <c r="F42" s="21" t="n">
        <v>42477</v>
      </c>
      <c r="G42" s="22" t="n">
        <v>34</v>
      </c>
      <c r="H42" s="15" t="s">
        <v>323</v>
      </c>
      <c r="I42" s="23" t="str">
        <f aca="false">IF(COUNTIF(Legacy_Employees!$A$5:$A$66,A42)=0,"Orphan","OK")</f>
        <v>OK</v>
      </c>
    </row>
    <row r="43" customFormat="false" ht="15" hidden="false" customHeight="false" outlineLevel="0" collapsed="false">
      <c r="A43" s="15" t="s">
        <v>324</v>
      </c>
      <c r="B43" s="15" t="s">
        <v>325</v>
      </c>
      <c r="C43" s="15" t="s">
        <v>31</v>
      </c>
      <c r="D43" s="15" t="s">
        <v>154</v>
      </c>
      <c r="E43" s="15" t="s">
        <v>326</v>
      </c>
      <c r="F43" s="21" t="n">
        <v>43282</v>
      </c>
      <c r="G43" s="22" t="n">
        <v>48</v>
      </c>
      <c r="H43" s="15" t="s">
        <v>327</v>
      </c>
      <c r="I43" s="23" t="str">
        <f aca="false">IF(COUNTIF(Legacy_Employees!$A$5:$A$66,A43)=0,"Orphan","OK")</f>
        <v>OK</v>
      </c>
    </row>
    <row r="44" customFormat="false" ht="15" hidden="false" customHeight="false" outlineLevel="0" collapsed="false">
      <c r="A44" s="15" t="s">
        <v>328</v>
      </c>
      <c r="B44" s="15" t="s">
        <v>329</v>
      </c>
      <c r="C44" s="15" t="s">
        <v>26</v>
      </c>
      <c r="D44" s="15" t="s">
        <v>207</v>
      </c>
      <c r="E44" s="15" t="s">
        <v>172</v>
      </c>
      <c r="F44" s="21" t="n">
        <v>45037</v>
      </c>
      <c r="G44" s="22" t="n">
        <v>32</v>
      </c>
      <c r="H44" s="15" t="s">
        <v>330</v>
      </c>
      <c r="I44" s="23" t="str">
        <f aca="false">IF(COUNTIF(Legacy_Employees!$A$5:$A$66,A44)=0,"Orphan","OK")</f>
        <v>OK</v>
      </c>
    </row>
    <row r="45" customFormat="false" ht="15" hidden="false" customHeight="false" outlineLevel="0" collapsed="false">
      <c r="A45" s="15" t="s">
        <v>331</v>
      </c>
      <c r="B45" s="15" t="s">
        <v>332</v>
      </c>
      <c r="C45" s="15" t="s">
        <v>28</v>
      </c>
      <c r="D45" s="15" t="s">
        <v>207</v>
      </c>
      <c r="E45" s="15" t="s">
        <v>172</v>
      </c>
      <c r="F45" s="21" t="n">
        <v>42845</v>
      </c>
      <c r="G45" s="22" t="n">
        <v>32</v>
      </c>
      <c r="H45" s="15" t="s">
        <v>333</v>
      </c>
      <c r="I45" s="23" t="str">
        <f aca="false">IF(COUNTIF(Legacy_Employees!$A$5:$A$66,A45)=0,"Orphan","OK")</f>
        <v>OK</v>
      </c>
    </row>
    <row r="46" customFormat="false" ht="15" hidden="false" customHeight="false" outlineLevel="0" collapsed="false">
      <c r="A46" s="15" t="s">
        <v>334</v>
      </c>
      <c r="B46" s="15" t="s">
        <v>301</v>
      </c>
      <c r="C46" s="15" t="s">
        <v>29</v>
      </c>
      <c r="D46" s="15" t="s">
        <v>265</v>
      </c>
      <c r="E46" s="15" t="s">
        <v>175</v>
      </c>
      <c r="F46" s="21" t="n">
        <v>44229</v>
      </c>
      <c r="G46" s="22" t="n">
        <v>34</v>
      </c>
      <c r="H46" s="15" t="s">
        <v>302</v>
      </c>
      <c r="I46" s="23" t="str">
        <f aca="false">IF(COUNTIF(Legacy_Employees!$A$5:$A$66,A46)=0,"Orphan","OK")</f>
        <v>OK</v>
      </c>
    </row>
    <row r="47" customFormat="false" ht="15" hidden="false" customHeight="false" outlineLevel="0" collapsed="false">
      <c r="A47" s="15" t="s">
        <v>335</v>
      </c>
      <c r="B47" s="15" t="s">
        <v>336</v>
      </c>
      <c r="C47" s="15" t="s">
        <v>29</v>
      </c>
      <c r="D47" s="15" t="s">
        <v>154</v>
      </c>
      <c r="E47" s="15" t="s">
        <v>181</v>
      </c>
      <c r="F47" s="21" t="n">
        <v>42377</v>
      </c>
      <c r="G47" s="22" t="n">
        <v>48</v>
      </c>
      <c r="H47" s="15" t="s">
        <v>337</v>
      </c>
      <c r="I47" s="23" t="str">
        <f aca="false">IF(COUNTIF(Legacy_Employees!$A$5:$A$66,A47)=0,"Orphan","OK")</f>
        <v>OK</v>
      </c>
    </row>
    <row r="48" customFormat="false" ht="15" hidden="false" customHeight="false" outlineLevel="0" collapsed="false">
      <c r="A48" s="15" t="s">
        <v>338</v>
      </c>
      <c r="B48" s="15" t="s">
        <v>339</v>
      </c>
      <c r="C48" s="15" t="s">
        <v>29</v>
      </c>
      <c r="D48" s="15" t="s">
        <v>219</v>
      </c>
      <c r="E48" s="15" t="s">
        <v>178</v>
      </c>
      <c r="F48" s="21" t="n">
        <v>42689</v>
      </c>
      <c r="G48" s="22" t="n">
        <v>41</v>
      </c>
      <c r="H48" s="15" t="s">
        <v>340</v>
      </c>
      <c r="I48" s="23" t="str">
        <f aca="false">IF(COUNTIF(Legacy_Employees!$A$5:$A$66,A48)=0,"Orphan","OK")</f>
        <v>OK</v>
      </c>
    </row>
    <row r="49" customFormat="false" ht="15" hidden="false" customHeight="false" outlineLevel="0" collapsed="false">
      <c r="A49" s="15" t="s">
        <v>341</v>
      </c>
      <c r="B49" s="15" t="s">
        <v>342</v>
      </c>
      <c r="C49" s="15" t="s">
        <v>28</v>
      </c>
      <c r="D49" s="15" t="s">
        <v>203</v>
      </c>
      <c r="E49" s="15" t="s">
        <v>175</v>
      </c>
      <c r="F49" s="21" t="n">
        <v>45196</v>
      </c>
      <c r="G49" s="22" t="n">
        <v>36</v>
      </c>
      <c r="H49" s="15" t="s">
        <v>343</v>
      </c>
      <c r="I49" s="23" t="str">
        <f aca="false">IF(COUNTIF(Legacy_Employees!$A$5:$A$66,A49)=0,"Orphan","OK")</f>
        <v>OK</v>
      </c>
    </row>
    <row r="50" customFormat="false" ht="15" hidden="false" customHeight="false" outlineLevel="0" collapsed="false">
      <c r="A50" s="15" t="s">
        <v>347</v>
      </c>
      <c r="B50" s="15" t="s">
        <v>348</v>
      </c>
      <c r="C50" s="15" t="s">
        <v>28</v>
      </c>
      <c r="D50" s="15" t="s">
        <v>265</v>
      </c>
      <c r="E50" s="15" t="s">
        <v>184</v>
      </c>
      <c r="F50" s="21" t="n">
        <v>45356</v>
      </c>
      <c r="G50" s="22" t="n">
        <v>34</v>
      </c>
      <c r="H50" s="15" t="s">
        <v>349</v>
      </c>
      <c r="I50" s="23" t="str">
        <f aca="false">IF(COUNTIF(Legacy_Employees!$A$5:$A$66,A50)=0,"Orphan","OK")</f>
        <v>OK</v>
      </c>
    </row>
    <row r="51" customFormat="false" ht="15" hidden="false" customHeight="false" outlineLevel="0" collapsed="false">
      <c r="A51" s="15" t="s">
        <v>350</v>
      </c>
      <c r="B51" s="15" t="s">
        <v>351</v>
      </c>
      <c r="C51" s="15" t="s">
        <v>28</v>
      </c>
      <c r="D51" s="15" t="s">
        <v>203</v>
      </c>
      <c r="E51" s="15" t="s">
        <v>175</v>
      </c>
      <c r="F51" s="21" t="n">
        <v>44023</v>
      </c>
      <c r="G51" s="22" t="n">
        <v>540</v>
      </c>
      <c r="H51" s="15" t="s">
        <v>352</v>
      </c>
      <c r="I51" s="23" t="str">
        <f aca="false">IF(COUNTIF(Legacy_Employees!$A$5:$A$66,A51)=0,"Orphan","OK")</f>
        <v>OK</v>
      </c>
    </row>
    <row r="52" customFormat="false" ht="15" hidden="false" customHeight="false" outlineLevel="0" collapsed="false">
      <c r="A52" s="15" t="s">
        <v>353</v>
      </c>
      <c r="B52" s="15" t="s">
        <v>354</v>
      </c>
      <c r="C52" s="15" t="s">
        <v>26</v>
      </c>
      <c r="D52" s="15" t="s">
        <v>203</v>
      </c>
      <c r="E52" s="15" t="s">
        <v>175</v>
      </c>
      <c r="F52" s="21" t="n">
        <v>43149</v>
      </c>
      <c r="G52" s="22" t="n">
        <v>36</v>
      </c>
      <c r="H52" s="15" t="s">
        <v>355</v>
      </c>
      <c r="I52" s="23" t="str">
        <f aca="false">IF(COUNTIF(Legacy_Employees!$A$5:$A$66,A52)=0,"Orphan","OK")</f>
        <v>OK</v>
      </c>
    </row>
    <row r="53" customFormat="false" ht="15" hidden="false" customHeight="false" outlineLevel="0" collapsed="false">
      <c r="A53" s="15" t="s">
        <v>356</v>
      </c>
      <c r="B53" s="15" t="s">
        <v>357</v>
      </c>
      <c r="C53" s="15" t="s">
        <v>28</v>
      </c>
      <c r="D53" s="15" t="s">
        <v>203</v>
      </c>
      <c r="E53" s="15" t="s">
        <v>175</v>
      </c>
      <c r="F53" s="21" t="n">
        <v>43415</v>
      </c>
      <c r="G53" s="22" t="n">
        <v>39.6</v>
      </c>
      <c r="H53" s="15" t="s">
        <v>358</v>
      </c>
      <c r="I53" s="23" t="str">
        <f aca="false">IF(COUNTIF(Legacy_Employees!$A$5:$A$66,A53)=0,"Orphan","OK")</f>
        <v>OK</v>
      </c>
    </row>
    <row r="54" customFormat="false" ht="15" hidden="false" customHeight="false" outlineLevel="0" collapsed="false">
      <c r="A54" s="15" t="s">
        <v>359</v>
      </c>
      <c r="B54" s="15" t="s">
        <v>360</v>
      </c>
      <c r="C54" s="15" t="s">
        <v>29</v>
      </c>
      <c r="D54" s="15" t="s">
        <v>203</v>
      </c>
      <c r="E54" s="15" t="s">
        <v>175</v>
      </c>
      <c r="F54" s="21" t="n">
        <v>42908</v>
      </c>
      <c r="G54" s="22" t="n">
        <v>36</v>
      </c>
      <c r="H54" s="15" t="s">
        <v>361</v>
      </c>
      <c r="I54" s="23" t="str">
        <f aca="false">IF(COUNTIF(Legacy_Employees!$A$5:$A$66,A54)=0,"Orphan","OK")</f>
        <v>OK</v>
      </c>
    </row>
    <row r="55" customFormat="false" ht="15" hidden="false" customHeight="false" outlineLevel="0" collapsed="false">
      <c r="A55" s="15" t="s">
        <v>362</v>
      </c>
      <c r="B55" s="15" t="s">
        <v>363</v>
      </c>
      <c r="C55" s="15" t="s">
        <v>31</v>
      </c>
      <c r="D55" s="15" t="s">
        <v>207</v>
      </c>
      <c r="E55" s="15" t="s">
        <v>172</v>
      </c>
      <c r="F55" s="21" t="n">
        <v>42842</v>
      </c>
      <c r="G55" s="22" t="n">
        <v>32</v>
      </c>
      <c r="H55" s="15" t="s">
        <v>364</v>
      </c>
      <c r="I55" s="23" t="str">
        <f aca="false">IF(COUNTIF(Legacy_Employees!$A$5:$A$66,A55)=0,"Orphan","OK")</f>
        <v>OK</v>
      </c>
    </row>
    <row r="56" customFormat="false" ht="15" hidden="false" customHeight="false" outlineLevel="0" collapsed="false">
      <c r="A56" s="15" t="s">
        <v>365</v>
      </c>
      <c r="B56" s="15" t="s">
        <v>366</v>
      </c>
      <c r="C56" s="15" t="s">
        <v>28</v>
      </c>
      <c r="D56" s="15" t="s">
        <v>203</v>
      </c>
      <c r="E56" s="15" t="s">
        <v>175</v>
      </c>
      <c r="F56" s="21" t="n">
        <v>43414</v>
      </c>
      <c r="G56" s="22" t="n">
        <v>36</v>
      </c>
      <c r="H56" s="15" t="s">
        <v>367</v>
      </c>
      <c r="I56" s="23" t="str">
        <f aca="false">IF(COUNTIF(Legacy_Employees!$A$5:$A$66,A56)=0,"Orphan","OK")</f>
        <v>OK</v>
      </c>
    </row>
    <row r="57" customFormat="false" ht="15" hidden="false" customHeight="false" outlineLevel="0" collapsed="false">
      <c r="A57" s="15" t="s">
        <v>368</v>
      </c>
      <c r="B57" s="15" t="s">
        <v>369</v>
      </c>
      <c r="C57" s="15" t="s">
        <v>26</v>
      </c>
      <c r="D57" s="15" t="s">
        <v>219</v>
      </c>
      <c r="E57" s="15" t="s">
        <v>178</v>
      </c>
      <c r="F57" s="21" t="n">
        <v>42496</v>
      </c>
      <c r="G57" s="22" t="n">
        <v>41</v>
      </c>
      <c r="H57" s="15" t="s">
        <v>370</v>
      </c>
      <c r="I57" s="23" t="str">
        <f aca="false">IF(COUNTIF(Legacy_Employees!$A$5:$A$66,A57)=0,"Orphan","OK")</f>
        <v>OK</v>
      </c>
    </row>
    <row r="58" customFormat="false" ht="15" hidden="false" customHeight="false" outlineLevel="0" collapsed="false">
      <c r="A58" s="15" t="s">
        <v>371</v>
      </c>
      <c r="B58" s="15" t="s">
        <v>372</v>
      </c>
      <c r="C58" s="15" t="s">
        <v>28</v>
      </c>
      <c r="D58" s="15" t="s">
        <v>154</v>
      </c>
      <c r="E58" s="15" t="s">
        <v>181</v>
      </c>
      <c r="F58" s="21" t="n">
        <v>43782</v>
      </c>
      <c r="G58" s="22" t="n">
        <v>48</v>
      </c>
      <c r="H58" s="15" t="s">
        <v>373</v>
      </c>
      <c r="I58" s="23" t="str">
        <f aca="false">IF(COUNTIF(Legacy_Employees!$A$5:$A$66,A58)=0,"Orphan","OK")</f>
        <v>OK</v>
      </c>
    </row>
    <row r="59" customFormat="false" ht="15" hidden="false" customHeight="false" outlineLevel="0" collapsed="false">
      <c r="A59" s="15" t="s">
        <v>374</v>
      </c>
      <c r="B59" s="15" t="s">
        <v>375</v>
      </c>
      <c r="C59" s="15" t="s">
        <v>29</v>
      </c>
      <c r="D59" s="15" t="s">
        <v>219</v>
      </c>
      <c r="E59" s="15" t="s">
        <v>178</v>
      </c>
      <c r="F59" s="21" t="n">
        <v>44961</v>
      </c>
      <c r="G59" s="22" t="n">
        <v>41</v>
      </c>
      <c r="H59" s="15" t="s">
        <v>376</v>
      </c>
      <c r="I59" s="23" t="str">
        <f aca="false">IF(COUNTIF(Legacy_Employees!$A$5:$A$66,A59)=0,"Orphan","OK")</f>
        <v>OK</v>
      </c>
    </row>
    <row r="60" customFormat="false" ht="15" hidden="false" customHeight="false" outlineLevel="0" collapsed="false">
      <c r="A60" s="15" t="s">
        <v>377</v>
      </c>
      <c r="B60" s="15" t="s">
        <v>378</v>
      </c>
      <c r="C60" s="15" t="s">
        <v>31</v>
      </c>
      <c r="D60" s="15" t="s">
        <v>203</v>
      </c>
      <c r="E60" s="15" t="s">
        <v>175</v>
      </c>
      <c r="F60" s="21" t="n">
        <v>44973</v>
      </c>
      <c r="G60" s="22" t="n">
        <v>36</v>
      </c>
      <c r="H60" s="15" t="s">
        <v>379</v>
      </c>
      <c r="I60" s="23" t="str">
        <f aca="false">IF(COUNTIF(Legacy_Employees!$A$5:$A$66,A60)=0,"Orphan","OK")</f>
        <v>OK</v>
      </c>
    </row>
    <row r="61" customFormat="false" ht="15" hidden="false" customHeight="false" outlineLevel="0" collapsed="false">
      <c r="A61" s="15" t="s">
        <v>383</v>
      </c>
      <c r="B61" s="15" t="s">
        <v>384</v>
      </c>
      <c r="C61" s="15" t="s">
        <v>28</v>
      </c>
      <c r="D61" s="15" t="s">
        <v>207</v>
      </c>
      <c r="E61" s="15" t="s">
        <v>172</v>
      </c>
      <c r="F61" s="21" t="n">
        <v>45809</v>
      </c>
      <c r="G61" s="22" t="n">
        <v>32</v>
      </c>
      <c r="H61" s="15" t="s">
        <v>385</v>
      </c>
      <c r="I61" s="23" t="str">
        <f aca="false">IF(COUNTIF(Legacy_Employees!$A$5:$A$66,A61)=0,"Orphan","OK")</f>
        <v>Orphan</v>
      </c>
    </row>
    <row r="62" customFormat="false" ht="15" hidden="false" customHeight="false" outlineLevel="0" collapsed="false">
      <c r="A62" s="15" t="s">
        <v>386</v>
      </c>
      <c r="B62" s="15" t="s">
        <v>387</v>
      </c>
      <c r="C62" s="15" t="s">
        <v>31</v>
      </c>
      <c r="D62" s="15" t="s">
        <v>207</v>
      </c>
      <c r="E62" s="15" t="s">
        <v>172</v>
      </c>
      <c r="F62" s="21" t="n">
        <v>45809</v>
      </c>
      <c r="G62" s="22" t="n">
        <v>32</v>
      </c>
      <c r="H62" s="15" t="s">
        <v>388</v>
      </c>
      <c r="I62" s="23" t="str">
        <f aca="false">IF(COUNTIF(Legacy_Employees!$A$5:$A$66,A62)=0,"Orphan","OK")</f>
        <v>Orphan</v>
      </c>
    </row>
    <row r="63" customFormat="false" ht="15" hidden="false" customHeight="false" outlineLevel="0" collapsed="false">
      <c r="A63" s="15" t="s">
        <v>389</v>
      </c>
      <c r="B63" s="15" t="s">
        <v>390</v>
      </c>
      <c r="C63" s="15" t="s">
        <v>28</v>
      </c>
      <c r="D63" s="15" t="s">
        <v>207</v>
      </c>
      <c r="E63" s="15" t="s">
        <v>172</v>
      </c>
      <c r="F63" s="21" t="n">
        <v>45809</v>
      </c>
      <c r="G63" s="22" t="n">
        <v>32</v>
      </c>
      <c r="H63" s="15" t="s">
        <v>391</v>
      </c>
      <c r="I63" s="23" t="str">
        <f aca="false">IF(COUNTIF(Legacy_Employees!$A$5:$A$66,A63)=0,"Orphan","OK")</f>
        <v>Orphan</v>
      </c>
    </row>
  </sheetData>
  <conditionalFormatting sqref="I5:I63">
    <cfRule type="expression" priority="2" aboveAverage="0" equalAverage="0" bottom="0" percent="0" rank="0" text="" dxfId="0">
      <formula>I5="OK"</formula>
    </cfRule>
    <cfRule type="expression" priority="3" aboveAverage="0" equalAverage="0" bottom="0" percent="0" rank="0" text="" dxfId="1">
      <formula>I5="Orphan"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392</v>
      </c>
    </row>
    <row r="2" customFormat="false" ht="15" hidden="false" customHeight="false" outlineLevel="0" collapsed="false">
      <c r="A2" s="2" t="s">
        <v>393</v>
      </c>
    </row>
    <row r="4" customFormat="false" ht="15" hidden="false" customHeight="false" outlineLevel="0" collapsed="false">
      <c r="A4" s="14" t="s">
        <v>195</v>
      </c>
      <c r="B4" s="14" t="s">
        <v>394</v>
      </c>
      <c r="C4" s="14" t="s">
        <v>395</v>
      </c>
      <c r="D4" s="14" t="s">
        <v>396</v>
      </c>
      <c r="E4" s="14" t="s">
        <v>397</v>
      </c>
      <c r="F4" s="14" t="s">
        <v>398</v>
      </c>
      <c r="G4" s="14" t="s">
        <v>399</v>
      </c>
    </row>
    <row r="5" customFormat="false" ht="15" hidden="false" customHeight="false" outlineLevel="0" collapsed="false">
      <c r="A5" s="9" t="str">
        <f aca="false">Legacy_Employees!A5</f>
        <v>E1001</v>
      </c>
      <c r="B5" s="23" t="str">
        <f aca="false">IF(COUNTIF(Legacy_Employees!$A$5:$A$66,A5)&gt;1,"Duplicate","OK")</f>
        <v>OK</v>
      </c>
      <c r="C5" s="23" t="str">
        <f aca="false">IF(OR(Legacy_Employees!H5="",ISERROR(FIND("@",Legacy_Employees!H5))),"Missing/invalid","OK")</f>
        <v>OK</v>
      </c>
      <c r="D5" s="23" t="str">
        <f aca="false">IF(COUNTIF(Config!$A$5:$A$9,Legacy_Employees!E5)=0,"Invalid code","OK")</f>
        <v>OK</v>
      </c>
      <c r="E5" s="23" t="str">
        <f aca="false">IF(AND(Legacy_Employees!G5&gt;=Config!$I$5,Legacy_Employees!G5&lt;=Config!$I$6),"OK","Out of range")</f>
        <v>OK</v>
      </c>
      <c r="F5" s="23" t="str">
        <f aca="false">IF(AND(ISNUMBER(Legacy_Employees!F5),Legacy_Employees!F5&lt;=Config!$I$8),"OK","Check date")</f>
        <v>OK</v>
      </c>
      <c r="G5" s="23" t="str">
        <f aca="false">IF(COUNTIF(B5:F5,"OK")=5,"Pass","Fail")</f>
        <v>Pass</v>
      </c>
    </row>
    <row r="6" customFormat="false" ht="15" hidden="false" customHeight="false" outlineLevel="0" collapsed="false">
      <c r="A6" s="9" t="str">
        <f aca="false">Legacy_Employees!A6</f>
        <v>E1002</v>
      </c>
      <c r="B6" s="23" t="str">
        <f aca="false">IF(COUNTIF(Legacy_Employees!$A$5:$A$66,A6)&gt;1,"Duplicate","OK")</f>
        <v>OK</v>
      </c>
      <c r="C6" s="23" t="str">
        <f aca="false">IF(OR(Legacy_Employees!H6="",ISERROR(FIND("@",Legacy_Employees!H6))),"Missing/invalid","OK")</f>
        <v>OK</v>
      </c>
      <c r="D6" s="23" t="str">
        <f aca="false">IF(COUNTIF(Config!$A$5:$A$9,Legacy_Employees!E6)=0,"Invalid code","OK")</f>
        <v>OK</v>
      </c>
      <c r="E6" s="23" t="str">
        <f aca="false">IF(AND(Legacy_Employees!G6&gt;=Config!$I$5,Legacy_Employees!G6&lt;=Config!$I$6),"OK","Out of range")</f>
        <v>OK</v>
      </c>
      <c r="F6" s="23" t="str">
        <f aca="false">IF(AND(ISNUMBER(Legacy_Employees!F6),Legacy_Employees!F6&lt;=Config!$I$8),"OK","Check date")</f>
        <v>OK</v>
      </c>
      <c r="G6" s="23" t="str">
        <f aca="false">IF(COUNTIF(B6:F6,"OK")=5,"Pass","Fail")</f>
        <v>Pass</v>
      </c>
    </row>
    <row r="7" customFormat="false" ht="15" hidden="false" customHeight="false" outlineLevel="0" collapsed="false">
      <c r="A7" s="9" t="str">
        <f aca="false">Legacy_Employees!A7</f>
        <v>E1003</v>
      </c>
      <c r="B7" s="23" t="str">
        <f aca="false">IF(COUNTIF(Legacy_Employees!$A$5:$A$66,A7)&gt;1,"Duplicate","OK")</f>
        <v>OK</v>
      </c>
      <c r="C7" s="23" t="str">
        <f aca="false">IF(OR(Legacy_Employees!H7="",ISERROR(FIND("@",Legacy_Employees!H7))),"Missing/invalid","OK")</f>
        <v>OK</v>
      </c>
      <c r="D7" s="23" t="str">
        <f aca="false">IF(COUNTIF(Config!$A$5:$A$9,Legacy_Employees!E7)=0,"Invalid code","OK")</f>
        <v>OK</v>
      </c>
      <c r="E7" s="23" t="str">
        <f aca="false">IF(AND(Legacy_Employees!G7&gt;=Config!$I$5,Legacy_Employees!G7&lt;=Config!$I$6),"OK","Out of range")</f>
        <v>OK</v>
      </c>
      <c r="F7" s="23" t="str">
        <f aca="false">IF(AND(ISNUMBER(Legacy_Employees!F7),Legacy_Employees!F7&lt;=Config!$I$8),"OK","Check date")</f>
        <v>OK</v>
      </c>
      <c r="G7" s="23" t="str">
        <f aca="false">IF(COUNTIF(B7:F7,"OK")=5,"Pass","Fail")</f>
        <v>Pass</v>
      </c>
    </row>
    <row r="8" customFormat="false" ht="15" hidden="false" customHeight="false" outlineLevel="0" collapsed="false">
      <c r="A8" s="9" t="str">
        <f aca="false">Legacy_Employees!A8</f>
        <v>E1004</v>
      </c>
      <c r="B8" s="23" t="str">
        <f aca="false">IF(COUNTIF(Legacy_Employees!$A$5:$A$66,A8)&gt;1,"Duplicate","OK")</f>
        <v>OK</v>
      </c>
      <c r="C8" s="23" t="str">
        <f aca="false">IF(OR(Legacy_Employees!H8="",ISERROR(FIND("@",Legacy_Employees!H8))),"Missing/invalid","OK")</f>
        <v>OK</v>
      </c>
      <c r="D8" s="23" t="str">
        <f aca="false">IF(COUNTIF(Config!$A$5:$A$9,Legacy_Employees!E8)=0,"Invalid code","OK")</f>
        <v>OK</v>
      </c>
      <c r="E8" s="23" t="str">
        <f aca="false">IF(AND(Legacy_Employees!G8&gt;=Config!$I$5,Legacy_Employees!G8&lt;=Config!$I$6),"OK","Out of range")</f>
        <v>OK</v>
      </c>
      <c r="F8" s="23" t="str">
        <f aca="false">IF(AND(ISNUMBER(Legacy_Employees!F8),Legacy_Employees!F8&lt;=Config!$I$8),"OK","Check date")</f>
        <v>OK</v>
      </c>
      <c r="G8" s="23" t="str">
        <f aca="false">IF(COUNTIF(B8:F8,"OK")=5,"Pass","Fail")</f>
        <v>Pass</v>
      </c>
    </row>
    <row r="9" customFormat="false" ht="15" hidden="false" customHeight="false" outlineLevel="0" collapsed="false">
      <c r="A9" s="9" t="str">
        <f aca="false">Legacy_Employees!A9</f>
        <v>E1005</v>
      </c>
      <c r="B9" s="23" t="str">
        <f aca="false">IF(COUNTIF(Legacy_Employees!$A$5:$A$66,A9)&gt;1,"Duplicate","OK")</f>
        <v>OK</v>
      </c>
      <c r="C9" s="23" t="str">
        <f aca="false">IF(OR(Legacy_Employees!H9="",ISERROR(FIND("@",Legacy_Employees!H9))),"Missing/invalid","OK")</f>
        <v>Missing/invalid</v>
      </c>
      <c r="D9" s="23" t="str">
        <f aca="false">IF(COUNTIF(Config!$A$5:$A$9,Legacy_Employees!E9)=0,"Invalid code","OK")</f>
        <v>OK</v>
      </c>
      <c r="E9" s="23" t="str">
        <f aca="false">IF(AND(Legacy_Employees!G9&gt;=Config!$I$5,Legacy_Employees!G9&lt;=Config!$I$6),"OK","Out of range")</f>
        <v>OK</v>
      </c>
      <c r="F9" s="23" t="str">
        <f aca="false">IF(AND(ISNUMBER(Legacy_Employees!F9),Legacy_Employees!F9&lt;=Config!$I$8),"OK","Check date")</f>
        <v>OK</v>
      </c>
      <c r="G9" s="23" t="str">
        <f aca="false">IF(COUNTIF(B9:F9,"OK")=5,"Pass","Fail")</f>
        <v>Fail</v>
      </c>
    </row>
    <row r="10" customFormat="false" ht="15" hidden="false" customHeight="false" outlineLevel="0" collapsed="false">
      <c r="A10" s="9" t="str">
        <f aca="false">Legacy_Employees!A10</f>
        <v>E1006</v>
      </c>
      <c r="B10" s="23" t="str">
        <f aca="false">IF(COUNTIF(Legacy_Employees!$A$5:$A$66,A10)&gt;1,"Duplicate","OK")</f>
        <v>OK</v>
      </c>
      <c r="C10" s="23" t="str">
        <f aca="false">IF(OR(Legacy_Employees!H10="",ISERROR(FIND("@",Legacy_Employees!H10))),"Missing/invalid","OK")</f>
        <v>OK</v>
      </c>
      <c r="D10" s="23" t="str">
        <f aca="false">IF(COUNTIF(Config!$A$5:$A$9,Legacy_Employees!E10)=0,"Invalid code","OK")</f>
        <v>OK</v>
      </c>
      <c r="E10" s="23" t="str">
        <f aca="false">IF(AND(Legacy_Employees!G10&gt;=Config!$I$5,Legacy_Employees!G10&lt;=Config!$I$6),"OK","Out of range")</f>
        <v>OK</v>
      </c>
      <c r="F10" s="23" t="str">
        <f aca="false">IF(AND(ISNUMBER(Legacy_Employees!F10),Legacy_Employees!F10&lt;=Config!$I$8),"OK","Check date")</f>
        <v>OK</v>
      </c>
      <c r="G10" s="23" t="str">
        <f aca="false">IF(COUNTIF(B10:F10,"OK")=5,"Pass","Fail")</f>
        <v>Pass</v>
      </c>
    </row>
    <row r="11" customFormat="false" ht="15" hidden="false" customHeight="false" outlineLevel="0" collapsed="false">
      <c r="A11" s="9" t="str">
        <f aca="false">Legacy_Employees!A11</f>
        <v>E1007</v>
      </c>
      <c r="B11" s="23" t="str">
        <f aca="false">IF(COUNTIF(Legacy_Employees!$A$5:$A$66,A11)&gt;1,"Duplicate","OK")</f>
        <v>Duplicate</v>
      </c>
      <c r="C11" s="23" t="str">
        <f aca="false">IF(OR(Legacy_Employees!H11="",ISERROR(FIND("@",Legacy_Employees!H11))),"Missing/invalid","OK")</f>
        <v>OK</v>
      </c>
      <c r="D11" s="23" t="str">
        <f aca="false">IF(COUNTIF(Config!$A$5:$A$9,Legacy_Employees!E11)=0,"Invalid code","OK")</f>
        <v>OK</v>
      </c>
      <c r="E11" s="23" t="str">
        <f aca="false">IF(AND(Legacy_Employees!G11&gt;=Config!$I$5,Legacy_Employees!G11&lt;=Config!$I$6),"OK","Out of range")</f>
        <v>OK</v>
      </c>
      <c r="F11" s="23" t="str">
        <f aca="false">IF(AND(ISNUMBER(Legacy_Employees!F11),Legacy_Employees!F11&lt;=Config!$I$8),"OK","Check date")</f>
        <v>OK</v>
      </c>
      <c r="G11" s="23" t="str">
        <f aca="false">IF(COUNTIF(B11:F11,"OK")=5,"Pass","Fail")</f>
        <v>Fail</v>
      </c>
    </row>
    <row r="12" customFormat="false" ht="15" hidden="false" customHeight="false" outlineLevel="0" collapsed="false">
      <c r="A12" s="9" t="str">
        <f aca="false">Legacy_Employees!A12</f>
        <v>E1008</v>
      </c>
      <c r="B12" s="23" t="str">
        <f aca="false">IF(COUNTIF(Legacy_Employees!$A$5:$A$66,A12)&gt;1,"Duplicate","OK")</f>
        <v>OK</v>
      </c>
      <c r="C12" s="23" t="str">
        <f aca="false">IF(OR(Legacy_Employees!H12="",ISERROR(FIND("@",Legacy_Employees!H12))),"Missing/invalid","OK")</f>
        <v>OK</v>
      </c>
      <c r="D12" s="23" t="str">
        <f aca="false">IF(COUNTIF(Config!$A$5:$A$9,Legacy_Employees!E12)=0,"Invalid code","OK")</f>
        <v>OK</v>
      </c>
      <c r="E12" s="23" t="str">
        <f aca="false">IF(AND(Legacy_Employees!G12&gt;=Config!$I$5,Legacy_Employees!G12&lt;=Config!$I$6),"OK","Out of range")</f>
        <v>OK</v>
      </c>
      <c r="F12" s="23" t="str">
        <f aca="false">IF(AND(ISNUMBER(Legacy_Employees!F12),Legacy_Employees!F12&lt;=Config!$I$8),"OK","Check date")</f>
        <v>OK</v>
      </c>
      <c r="G12" s="23" t="str">
        <f aca="false">IF(COUNTIF(B12:F12,"OK")=5,"Pass","Fail")</f>
        <v>Pass</v>
      </c>
    </row>
    <row r="13" customFormat="false" ht="15" hidden="false" customHeight="false" outlineLevel="0" collapsed="false">
      <c r="A13" s="9" t="str">
        <f aca="false">Legacy_Employees!A13</f>
        <v>E1009</v>
      </c>
      <c r="B13" s="23" t="str">
        <f aca="false">IF(COUNTIF(Legacy_Employees!$A$5:$A$66,A13)&gt;1,"Duplicate","OK")</f>
        <v>OK</v>
      </c>
      <c r="C13" s="23" t="str">
        <f aca="false">IF(OR(Legacy_Employees!H13="",ISERROR(FIND("@",Legacy_Employees!H13))),"Missing/invalid","OK")</f>
        <v>OK</v>
      </c>
      <c r="D13" s="23" t="str">
        <f aca="false">IF(COUNTIF(Config!$A$5:$A$9,Legacy_Employees!E13)=0,"Invalid code","OK")</f>
        <v>OK</v>
      </c>
      <c r="E13" s="23" t="str">
        <f aca="false">IF(AND(Legacy_Employees!G13&gt;=Config!$I$5,Legacy_Employees!G13&lt;=Config!$I$6),"OK","Out of range")</f>
        <v>OK</v>
      </c>
      <c r="F13" s="23" t="str">
        <f aca="false">IF(AND(ISNUMBER(Legacy_Employees!F13),Legacy_Employees!F13&lt;=Config!$I$8),"OK","Check date")</f>
        <v>OK</v>
      </c>
      <c r="G13" s="23" t="str">
        <f aca="false">IF(COUNTIF(B13:F13,"OK")=5,"Pass","Fail")</f>
        <v>Pass</v>
      </c>
    </row>
    <row r="14" customFormat="false" ht="15" hidden="false" customHeight="false" outlineLevel="0" collapsed="false">
      <c r="A14" s="9" t="str">
        <f aca="false">Legacy_Employees!A14</f>
        <v>E1010</v>
      </c>
      <c r="B14" s="23" t="str">
        <f aca="false">IF(COUNTIF(Legacy_Employees!$A$5:$A$66,A14)&gt;1,"Duplicate","OK")</f>
        <v>OK</v>
      </c>
      <c r="C14" s="23" t="str">
        <f aca="false">IF(OR(Legacy_Employees!H14="",ISERROR(FIND("@",Legacy_Employees!H14))),"Missing/invalid","OK")</f>
        <v>OK</v>
      </c>
      <c r="D14" s="23" t="str">
        <f aca="false">IF(COUNTIF(Config!$A$5:$A$9,Legacy_Employees!E14)=0,"Invalid code","OK")</f>
        <v>Invalid code</v>
      </c>
      <c r="E14" s="23" t="str">
        <f aca="false">IF(AND(Legacy_Employees!G14&gt;=Config!$I$5,Legacy_Employees!G14&lt;=Config!$I$6),"OK","Out of range")</f>
        <v>OK</v>
      </c>
      <c r="F14" s="23" t="str">
        <f aca="false">IF(AND(ISNUMBER(Legacy_Employees!F14),Legacy_Employees!F14&lt;=Config!$I$8),"OK","Check date")</f>
        <v>OK</v>
      </c>
      <c r="G14" s="23" t="str">
        <f aca="false">IF(COUNTIF(B14:F14,"OK")=5,"Pass","Fail")</f>
        <v>Fail</v>
      </c>
    </row>
    <row r="15" customFormat="false" ht="15" hidden="false" customHeight="false" outlineLevel="0" collapsed="false">
      <c r="A15" s="9" t="str">
        <f aca="false">Legacy_Employees!A15</f>
        <v>E1011</v>
      </c>
      <c r="B15" s="23" t="str">
        <f aca="false">IF(COUNTIF(Legacy_Employees!$A$5:$A$66,A15)&gt;1,"Duplicate","OK")</f>
        <v>OK</v>
      </c>
      <c r="C15" s="23" t="str">
        <f aca="false">IF(OR(Legacy_Employees!H15="",ISERROR(FIND("@",Legacy_Employees!H15))),"Missing/invalid","OK")</f>
        <v>OK</v>
      </c>
      <c r="D15" s="23" t="str">
        <f aca="false">IF(COUNTIF(Config!$A$5:$A$9,Legacy_Employees!E15)=0,"Invalid code","OK")</f>
        <v>OK</v>
      </c>
      <c r="E15" s="23" t="str">
        <f aca="false">IF(AND(Legacy_Employees!G15&gt;=Config!$I$5,Legacy_Employees!G15&lt;=Config!$I$6),"OK","Out of range")</f>
        <v>OK</v>
      </c>
      <c r="F15" s="23" t="str">
        <f aca="false">IF(AND(ISNUMBER(Legacy_Employees!F15),Legacy_Employees!F15&lt;=Config!$I$8),"OK","Check date")</f>
        <v>OK</v>
      </c>
      <c r="G15" s="23" t="str">
        <f aca="false">IF(COUNTIF(B15:F15,"OK")=5,"Pass","Fail")</f>
        <v>Pass</v>
      </c>
    </row>
    <row r="16" customFormat="false" ht="15" hidden="false" customHeight="false" outlineLevel="0" collapsed="false">
      <c r="A16" s="9" t="str">
        <f aca="false">Legacy_Employees!A16</f>
        <v>E1012</v>
      </c>
      <c r="B16" s="23" t="str">
        <f aca="false">IF(COUNTIF(Legacy_Employees!$A$5:$A$66,A16)&gt;1,"Duplicate","OK")</f>
        <v>OK</v>
      </c>
      <c r="C16" s="23" t="str">
        <f aca="false">IF(OR(Legacy_Employees!H16="",ISERROR(FIND("@",Legacy_Employees!H16))),"Missing/invalid","OK")</f>
        <v>OK</v>
      </c>
      <c r="D16" s="23" t="str">
        <f aca="false">IF(COUNTIF(Config!$A$5:$A$9,Legacy_Employees!E16)=0,"Invalid code","OK")</f>
        <v>OK</v>
      </c>
      <c r="E16" s="23" t="str">
        <f aca="false">IF(AND(Legacy_Employees!G16&gt;=Config!$I$5,Legacy_Employees!G16&lt;=Config!$I$6),"OK","Out of range")</f>
        <v>OK</v>
      </c>
      <c r="F16" s="23" t="str">
        <f aca="false">IF(AND(ISNUMBER(Legacy_Employees!F16),Legacy_Employees!F16&lt;=Config!$I$8),"OK","Check date")</f>
        <v>OK</v>
      </c>
      <c r="G16" s="23" t="str">
        <f aca="false">IF(COUNTIF(B16:F16,"OK")=5,"Pass","Fail")</f>
        <v>Pass</v>
      </c>
    </row>
    <row r="17" customFormat="false" ht="15" hidden="false" customHeight="false" outlineLevel="0" collapsed="false">
      <c r="A17" s="9" t="str">
        <f aca="false">Legacy_Employees!A17</f>
        <v>E1013</v>
      </c>
      <c r="B17" s="23" t="str">
        <f aca="false">IF(COUNTIF(Legacy_Employees!$A$5:$A$66,A17)&gt;1,"Duplicate","OK")</f>
        <v>OK</v>
      </c>
      <c r="C17" s="23" t="str">
        <f aca="false">IF(OR(Legacy_Employees!H17="",ISERROR(FIND("@",Legacy_Employees!H17))),"Missing/invalid","OK")</f>
        <v>OK</v>
      </c>
      <c r="D17" s="23" t="str">
        <f aca="false">IF(COUNTIF(Config!$A$5:$A$9,Legacy_Employees!E17)=0,"Invalid code","OK")</f>
        <v>OK</v>
      </c>
      <c r="E17" s="23" t="str">
        <f aca="false">IF(AND(Legacy_Employees!G17&gt;=Config!$I$5,Legacy_Employees!G17&lt;=Config!$I$6),"OK","Out of range")</f>
        <v>Out of range</v>
      </c>
      <c r="F17" s="23" t="str">
        <f aca="false">IF(AND(ISNUMBER(Legacy_Employees!F17),Legacy_Employees!F17&lt;=Config!$I$8),"OK","Check date")</f>
        <v>OK</v>
      </c>
      <c r="G17" s="23" t="str">
        <f aca="false">IF(COUNTIF(B17:F17,"OK")=5,"Pass","Fail")</f>
        <v>Fail</v>
      </c>
    </row>
    <row r="18" customFormat="false" ht="15" hidden="false" customHeight="false" outlineLevel="0" collapsed="false">
      <c r="A18" s="9" t="str">
        <f aca="false">Legacy_Employees!A18</f>
        <v>E1014</v>
      </c>
      <c r="B18" s="23" t="str">
        <f aca="false">IF(COUNTIF(Legacy_Employees!$A$5:$A$66,A18)&gt;1,"Duplicate","OK")</f>
        <v>OK</v>
      </c>
      <c r="C18" s="23" t="str">
        <f aca="false">IF(OR(Legacy_Employees!H18="",ISERROR(FIND("@",Legacy_Employees!H18))),"Missing/invalid","OK")</f>
        <v>OK</v>
      </c>
      <c r="D18" s="23" t="str">
        <f aca="false">IF(COUNTIF(Config!$A$5:$A$9,Legacy_Employees!E18)=0,"Invalid code","OK")</f>
        <v>OK</v>
      </c>
      <c r="E18" s="23" t="str">
        <f aca="false">IF(AND(Legacy_Employees!G18&gt;=Config!$I$5,Legacy_Employees!G18&lt;=Config!$I$6),"OK","Out of range")</f>
        <v>OK</v>
      </c>
      <c r="F18" s="23" t="str">
        <f aca="false">IF(AND(ISNUMBER(Legacy_Employees!F18),Legacy_Employees!F18&lt;=Config!$I$8),"OK","Check date")</f>
        <v>OK</v>
      </c>
      <c r="G18" s="23" t="str">
        <f aca="false">IF(COUNTIF(B18:F18,"OK")=5,"Pass","Fail")</f>
        <v>Pass</v>
      </c>
    </row>
    <row r="19" customFormat="false" ht="15" hidden="false" customHeight="false" outlineLevel="0" collapsed="false">
      <c r="A19" s="9" t="str">
        <f aca="false">Legacy_Employees!A19</f>
        <v>E1015</v>
      </c>
      <c r="B19" s="23" t="str">
        <f aca="false">IF(COUNTIF(Legacy_Employees!$A$5:$A$66,A19)&gt;1,"Duplicate","OK")</f>
        <v>OK</v>
      </c>
      <c r="C19" s="23" t="str">
        <f aca="false">IF(OR(Legacy_Employees!H19="",ISERROR(FIND("@",Legacy_Employees!H19))),"Missing/invalid","OK")</f>
        <v>OK</v>
      </c>
      <c r="D19" s="23" t="str">
        <f aca="false">IF(COUNTIF(Config!$A$5:$A$9,Legacy_Employees!E19)=0,"Invalid code","OK")</f>
        <v>OK</v>
      </c>
      <c r="E19" s="23" t="str">
        <f aca="false">IF(AND(Legacy_Employees!G19&gt;=Config!$I$5,Legacy_Employees!G19&lt;=Config!$I$6),"OK","Out of range")</f>
        <v>OK</v>
      </c>
      <c r="F19" s="23" t="str">
        <f aca="false">IF(AND(ISNUMBER(Legacy_Employees!F19),Legacy_Employees!F19&lt;=Config!$I$8),"OK","Check date")</f>
        <v>OK</v>
      </c>
      <c r="G19" s="23" t="str">
        <f aca="false">IF(COUNTIF(B19:F19,"OK")=5,"Pass","Fail")</f>
        <v>Pass</v>
      </c>
    </row>
    <row r="20" customFormat="false" ht="15" hidden="false" customHeight="false" outlineLevel="0" collapsed="false">
      <c r="A20" s="9" t="str">
        <f aca="false">Legacy_Employees!A20</f>
        <v>E1016</v>
      </c>
      <c r="B20" s="23" t="str">
        <f aca="false">IF(COUNTIF(Legacy_Employees!$A$5:$A$66,A20)&gt;1,"Duplicate","OK")</f>
        <v>OK</v>
      </c>
      <c r="C20" s="23" t="str">
        <f aca="false">IF(OR(Legacy_Employees!H20="",ISERROR(FIND("@",Legacy_Employees!H20))),"Missing/invalid","OK")</f>
        <v>OK</v>
      </c>
      <c r="D20" s="23" t="str">
        <f aca="false">IF(COUNTIF(Config!$A$5:$A$9,Legacy_Employees!E20)=0,"Invalid code","OK")</f>
        <v>OK</v>
      </c>
      <c r="E20" s="23" t="str">
        <f aca="false">IF(AND(Legacy_Employees!G20&gt;=Config!$I$5,Legacy_Employees!G20&lt;=Config!$I$6),"OK","Out of range")</f>
        <v>OK</v>
      </c>
      <c r="F20" s="23" t="str">
        <f aca="false">IF(AND(ISNUMBER(Legacy_Employees!F20),Legacy_Employees!F20&lt;=Config!$I$8),"OK","Check date")</f>
        <v>OK</v>
      </c>
      <c r="G20" s="23" t="str">
        <f aca="false">IF(COUNTIF(B20:F20,"OK")=5,"Pass","Fail")</f>
        <v>Pass</v>
      </c>
    </row>
    <row r="21" customFormat="false" ht="15" hidden="false" customHeight="false" outlineLevel="0" collapsed="false">
      <c r="A21" s="9" t="str">
        <f aca="false">Legacy_Employees!A21</f>
        <v>E1017</v>
      </c>
      <c r="B21" s="23" t="str">
        <f aca="false">IF(COUNTIF(Legacy_Employees!$A$5:$A$66,A21)&gt;1,"Duplicate","OK")</f>
        <v>OK</v>
      </c>
      <c r="C21" s="23" t="str">
        <f aca="false">IF(OR(Legacy_Employees!H21="",ISERROR(FIND("@",Legacy_Employees!H21))),"Missing/invalid","OK")</f>
        <v>OK</v>
      </c>
      <c r="D21" s="23" t="str">
        <f aca="false">IF(COUNTIF(Config!$A$5:$A$9,Legacy_Employees!E21)=0,"Invalid code","OK")</f>
        <v>OK</v>
      </c>
      <c r="E21" s="23" t="str">
        <f aca="false">IF(AND(Legacy_Employees!G21&gt;=Config!$I$5,Legacy_Employees!G21&lt;=Config!$I$6),"OK","Out of range")</f>
        <v>OK</v>
      </c>
      <c r="F21" s="23" t="str">
        <f aca="false">IF(AND(ISNUMBER(Legacy_Employees!F21),Legacy_Employees!F21&lt;=Config!$I$8),"OK","Check date")</f>
        <v>OK</v>
      </c>
      <c r="G21" s="23" t="str">
        <f aca="false">IF(COUNTIF(B21:F21,"OK")=5,"Pass","Fail")</f>
        <v>Pass</v>
      </c>
    </row>
    <row r="22" customFormat="false" ht="15" hidden="false" customHeight="false" outlineLevel="0" collapsed="false">
      <c r="A22" s="9" t="str">
        <f aca="false">Legacy_Employees!A22</f>
        <v>E1018</v>
      </c>
      <c r="B22" s="23" t="str">
        <f aca="false">IF(COUNTIF(Legacy_Employees!$A$5:$A$66,A22)&gt;1,"Duplicate","OK")</f>
        <v>OK</v>
      </c>
      <c r="C22" s="23" t="str">
        <f aca="false">IF(OR(Legacy_Employees!H22="",ISERROR(FIND("@",Legacy_Employees!H22))),"Missing/invalid","OK")</f>
        <v>Missing/invalid</v>
      </c>
      <c r="D22" s="23" t="str">
        <f aca="false">IF(COUNTIF(Config!$A$5:$A$9,Legacy_Employees!E22)=0,"Invalid code","OK")</f>
        <v>OK</v>
      </c>
      <c r="E22" s="23" t="str">
        <f aca="false">IF(AND(Legacy_Employees!G22&gt;=Config!$I$5,Legacy_Employees!G22&lt;=Config!$I$6),"OK","Out of range")</f>
        <v>OK</v>
      </c>
      <c r="F22" s="23" t="str">
        <f aca="false">IF(AND(ISNUMBER(Legacy_Employees!F22),Legacy_Employees!F22&lt;=Config!$I$8),"OK","Check date")</f>
        <v>OK</v>
      </c>
      <c r="G22" s="23" t="str">
        <f aca="false">IF(COUNTIF(B22:F22,"OK")=5,"Pass","Fail")</f>
        <v>Fail</v>
      </c>
    </row>
    <row r="23" customFormat="false" ht="15" hidden="false" customHeight="false" outlineLevel="0" collapsed="false">
      <c r="A23" s="9" t="str">
        <f aca="false">Legacy_Employees!A23</f>
        <v>E1019</v>
      </c>
      <c r="B23" s="23" t="str">
        <f aca="false">IF(COUNTIF(Legacy_Employees!$A$5:$A$66,A23)&gt;1,"Duplicate","OK")</f>
        <v>OK</v>
      </c>
      <c r="C23" s="23" t="str">
        <f aca="false">IF(OR(Legacy_Employees!H23="",ISERROR(FIND("@",Legacy_Employees!H23))),"Missing/invalid","OK")</f>
        <v>OK</v>
      </c>
      <c r="D23" s="23" t="str">
        <f aca="false">IF(COUNTIF(Config!$A$5:$A$9,Legacy_Employees!E23)=0,"Invalid code","OK")</f>
        <v>OK</v>
      </c>
      <c r="E23" s="23" t="str">
        <f aca="false">IF(AND(Legacy_Employees!G23&gt;=Config!$I$5,Legacy_Employees!G23&lt;=Config!$I$6),"OK","Out of range")</f>
        <v>OK</v>
      </c>
      <c r="F23" s="23" t="str">
        <f aca="false">IF(AND(ISNUMBER(Legacy_Employees!F23),Legacy_Employees!F23&lt;=Config!$I$8),"OK","Check date")</f>
        <v>OK</v>
      </c>
      <c r="G23" s="23" t="str">
        <f aca="false">IF(COUNTIF(B23:F23,"OK")=5,"Pass","Fail")</f>
        <v>Pass</v>
      </c>
    </row>
    <row r="24" customFormat="false" ht="15" hidden="false" customHeight="false" outlineLevel="0" collapsed="false">
      <c r="A24" s="9" t="str">
        <f aca="false">Legacy_Employees!A24</f>
        <v>E1020</v>
      </c>
      <c r="B24" s="23" t="str">
        <f aca="false">IF(COUNTIF(Legacy_Employees!$A$5:$A$66,A24)&gt;1,"Duplicate","OK")</f>
        <v>OK</v>
      </c>
      <c r="C24" s="23" t="str">
        <f aca="false">IF(OR(Legacy_Employees!H24="",ISERROR(FIND("@",Legacy_Employees!H24))),"Missing/invalid","OK")</f>
        <v>OK</v>
      </c>
      <c r="D24" s="23" t="str">
        <f aca="false">IF(COUNTIF(Config!$A$5:$A$9,Legacy_Employees!E24)=0,"Invalid code","OK")</f>
        <v>OK</v>
      </c>
      <c r="E24" s="23" t="str">
        <f aca="false">IF(AND(Legacy_Employees!G24&gt;=Config!$I$5,Legacy_Employees!G24&lt;=Config!$I$6),"OK","Out of range")</f>
        <v>OK</v>
      </c>
      <c r="F24" s="23" t="str">
        <f aca="false">IF(AND(ISNUMBER(Legacy_Employees!F24),Legacy_Employees!F24&lt;=Config!$I$8),"OK","Check date")</f>
        <v>OK</v>
      </c>
      <c r="G24" s="23" t="str">
        <f aca="false">IF(COUNTIF(B24:F24,"OK")=5,"Pass","Fail")</f>
        <v>Pass</v>
      </c>
    </row>
    <row r="25" customFormat="false" ht="15" hidden="false" customHeight="false" outlineLevel="0" collapsed="false">
      <c r="A25" s="9" t="str">
        <f aca="false">Legacy_Employees!A25</f>
        <v>E1021</v>
      </c>
      <c r="B25" s="23" t="str">
        <f aca="false">IF(COUNTIF(Legacy_Employees!$A$5:$A$66,A25)&gt;1,"Duplicate","OK")</f>
        <v>OK</v>
      </c>
      <c r="C25" s="23" t="str">
        <f aca="false">IF(OR(Legacy_Employees!H25="",ISERROR(FIND("@",Legacy_Employees!H25))),"Missing/invalid","OK")</f>
        <v>OK</v>
      </c>
      <c r="D25" s="23" t="str">
        <f aca="false">IF(COUNTIF(Config!$A$5:$A$9,Legacy_Employees!E25)=0,"Invalid code","OK")</f>
        <v>OK</v>
      </c>
      <c r="E25" s="23" t="str">
        <f aca="false">IF(AND(Legacy_Employees!G25&gt;=Config!$I$5,Legacy_Employees!G25&lt;=Config!$I$6),"OK","Out of range")</f>
        <v>OK</v>
      </c>
      <c r="F25" s="23" t="str">
        <f aca="false">IF(AND(ISNUMBER(Legacy_Employees!F25),Legacy_Employees!F25&lt;=Config!$I$8),"OK","Check date")</f>
        <v>OK</v>
      </c>
      <c r="G25" s="23" t="str">
        <f aca="false">IF(COUNTIF(B25:F25,"OK")=5,"Pass","Fail")</f>
        <v>Pass</v>
      </c>
    </row>
    <row r="26" customFormat="false" ht="15" hidden="false" customHeight="false" outlineLevel="0" collapsed="false">
      <c r="A26" s="9" t="str">
        <f aca="false">Legacy_Employees!A26</f>
        <v>E1022</v>
      </c>
      <c r="B26" s="23" t="str">
        <f aca="false">IF(COUNTIF(Legacy_Employees!$A$5:$A$66,A26)&gt;1,"Duplicate","OK")</f>
        <v>OK</v>
      </c>
      <c r="C26" s="23" t="str">
        <f aca="false">IF(OR(Legacy_Employees!H26="",ISERROR(FIND("@",Legacy_Employees!H26))),"Missing/invalid","OK")</f>
        <v>OK</v>
      </c>
      <c r="D26" s="23" t="str">
        <f aca="false">IF(COUNTIF(Config!$A$5:$A$9,Legacy_Employees!E26)=0,"Invalid code","OK")</f>
        <v>OK</v>
      </c>
      <c r="E26" s="23" t="str">
        <f aca="false">IF(AND(Legacy_Employees!G26&gt;=Config!$I$5,Legacy_Employees!G26&lt;=Config!$I$6),"OK","Out of range")</f>
        <v>OK</v>
      </c>
      <c r="F26" s="23" t="str">
        <f aca="false">IF(AND(ISNUMBER(Legacy_Employees!F26),Legacy_Employees!F26&lt;=Config!$I$8),"OK","Check date")</f>
        <v>OK</v>
      </c>
      <c r="G26" s="23" t="str">
        <f aca="false">IF(COUNTIF(B26:F26,"OK")=5,"Pass","Fail")</f>
        <v>Pass</v>
      </c>
    </row>
    <row r="27" customFormat="false" ht="15" hidden="false" customHeight="false" outlineLevel="0" collapsed="false">
      <c r="A27" s="9" t="str">
        <f aca="false">Legacy_Employees!A27</f>
        <v>E1023</v>
      </c>
      <c r="B27" s="23" t="str">
        <f aca="false">IF(COUNTIF(Legacy_Employees!$A$5:$A$66,A27)&gt;1,"Duplicate","OK")</f>
        <v>Duplicate</v>
      </c>
      <c r="C27" s="23" t="str">
        <f aca="false">IF(OR(Legacy_Employees!H27="",ISERROR(FIND("@",Legacy_Employees!H27))),"Missing/invalid","OK")</f>
        <v>OK</v>
      </c>
      <c r="D27" s="23" t="str">
        <f aca="false">IF(COUNTIF(Config!$A$5:$A$9,Legacy_Employees!E27)=0,"Invalid code","OK")</f>
        <v>OK</v>
      </c>
      <c r="E27" s="23" t="str">
        <f aca="false">IF(AND(Legacy_Employees!G27&gt;=Config!$I$5,Legacy_Employees!G27&lt;=Config!$I$6),"OK","Out of range")</f>
        <v>OK</v>
      </c>
      <c r="F27" s="23" t="str">
        <f aca="false">IF(AND(ISNUMBER(Legacy_Employees!F27),Legacy_Employees!F27&lt;=Config!$I$8),"OK","Check date")</f>
        <v>OK</v>
      </c>
      <c r="G27" s="23" t="str">
        <f aca="false">IF(COUNTIF(B27:F27,"OK")=5,"Pass","Fail")</f>
        <v>Fail</v>
      </c>
    </row>
    <row r="28" customFormat="false" ht="15" hidden="false" customHeight="false" outlineLevel="0" collapsed="false">
      <c r="A28" s="9" t="str">
        <f aca="false">Legacy_Employees!A28</f>
        <v>E1024</v>
      </c>
      <c r="B28" s="23" t="str">
        <f aca="false">IF(COUNTIF(Legacy_Employees!$A$5:$A$66,A28)&gt;1,"Duplicate","OK")</f>
        <v>OK</v>
      </c>
      <c r="C28" s="23" t="str">
        <f aca="false">IF(OR(Legacy_Employees!H28="",ISERROR(FIND("@",Legacy_Employees!H28))),"Missing/invalid","OK")</f>
        <v>OK</v>
      </c>
      <c r="D28" s="23" t="str">
        <f aca="false">IF(COUNTIF(Config!$A$5:$A$9,Legacy_Employees!E28)=0,"Invalid code","OK")</f>
        <v>OK</v>
      </c>
      <c r="E28" s="23" t="str">
        <f aca="false">IF(AND(Legacy_Employees!G28&gt;=Config!$I$5,Legacy_Employees!G28&lt;=Config!$I$6),"OK","Out of range")</f>
        <v>OK</v>
      </c>
      <c r="F28" s="23" t="str">
        <f aca="false">IF(AND(ISNUMBER(Legacy_Employees!F28),Legacy_Employees!F28&lt;=Config!$I$8),"OK","Check date")</f>
        <v>OK</v>
      </c>
      <c r="G28" s="23" t="str">
        <f aca="false">IF(COUNTIF(B28:F28,"OK")=5,"Pass","Fail")</f>
        <v>Pass</v>
      </c>
    </row>
    <row r="29" customFormat="false" ht="15" hidden="false" customHeight="false" outlineLevel="0" collapsed="false">
      <c r="A29" s="9" t="str">
        <f aca="false">Legacy_Employees!A29</f>
        <v>E1025</v>
      </c>
      <c r="B29" s="23" t="str">
        <f aca="false">IF(COUNTIF(Legacy_Employees!$A$5:$A$66,A29)&gt;1,"Duplicate","OK")</f>
        <v>OK</v>
      </c>
      <c r="C29" s="23" t="str">
        <f aca="false">IF(OR(Legacy_Employees!H29="",ISERROR(FIND("@",Legacy_Employees!H29))),"Missing/invalid","OK")</f>
        <v>OK</v>
      </c>
      <c r="D29" s="23" t="str">
        <f aca="false">IF(COUNTIF(Config!$A$5:$A$9,Legacy_Employees!E29)=0,"Invalid code","OK")</f>
        <v>OK</v>
      </c>
      <c r="E29" s="23" t="str">
        <f aca="false">IF(AND(Legacy_Employees!G29&gt;=Config!$I$5,Legacy_Employees!G29&lt;=Config!$I$6),"OK","Out of range")</f>
        <v>OK</v>
      </c>
      <c r="F29" s="23" t="str">
        <f aca="false">IF(AND(ISNUMBER(Legacy_Employees!F29),Legacy_Employees!F29&lt;=Config!$I$8),"OK","Check date")</f>
        <v>OK</v>
      </c>
      <c r="G29" s="23" t="str">
        <f aca="false">IF(COUNTIF(B29:F29,"OK")=5,"Pass","Fail")</f>
        <v>Pass</v>
      </c>
    </row>
    <row r="30" customFormat="false" ht="15" hidden="false" customHeight="false" outlineLevel="0" collapsed="false">
      <c r="A30" s="9" t="str">
        <f aca="false">Legacy_Employees!A30</f>
        <v>E1026</v>
      </c>
      <c r="B30" s="23" t="str">
        <f aca="false">IF(COUNTIF(Legacy_Employees!$A$5:$A$66,A30)&gt;1,"Duplicate","OK")</f>
        <v>OK</v>
      </c>
      <c r="C30" s="23" t="str">
        <f aca="false">IF(OR(Legacy_Employees!H30="",ISERROR(FIND("@",Legacy_Employees!H30))),"Missing/invalid","OK")</f>
        <v>OK</v>
      </c>
      <c r="D30" s="23" t="str">
        <f aca="false">IF(COUNTIF(Config!$A$5:$A$9,Legacy_Employees!E30)=0,"Invalid code","OK")</f>
        <v>OK</v>
      </c>
      <c r="E30" s="23" t="str">
        <f aca="false">IF(AND(Legacy_Employees!G30&gt;=Config!$I$5,Legacy_Employees!G30&lt;=Config!$I$6),"OK","Out of range")</f>
        <v>OK</v>
      </c>
      <c r="F30" s="23" t="str">
        <f aca="false">IF(AND(ISNUMBER(Legacy_Employees!F30),Legacy_Employees!F30&lt;=Config!$I$8),"OK","Check date")</f>
        <v>OK</v>
      </c>
      <c r="G30" s="23" t="str">
        <f aca="false">IF(COUNTIF(B30:F30,"OK")=5,"Pass","Fail")</f>
        <v>Pass</v>
      </c>
    </row>
    <row r="31" customFormat="false" ht="15" hidden="false" customHeight="false" outlineLevel="0" collapsed="false">
      <c r="A31" s="9" t="str">
        <f aca="false">Legacy_Employees!A31</f>
        <v>E1027</v>
      </c>
      <c r="B31" s="23" t="str">
        <f aca="false">IF(COUNTIF(Legacy_Employees!$A$5:$A$66,A31)&gt;1,"Duplicate","OK")</f>
        <v>OK</v>
      </c>
      <c r="C31" s="23" t="str">
        <f aca="false">IF(OR(Legacy_Employees!H31="",ISERROR(FIND("@",Legacy_Employees!H31))),"Missing/invalid","OK")</f>
        <v>OK</v>
      </c>
      <c r="D31" s="23" t="str">
        <f aca="false">IF(COUNTIF(Config!$A$5:$A$9,Legacy_Employees!E31)=0,"Invalid code","OK")</f>
        <v>OK</v>
      </c>
      <c r="E31" s="23" t="str">
        <f aca="false">IF(AND(Legacy_Employees!G31&gt;=Config!$I$5,Legacy_Employees!G31&lt;=Config!$I$6),"OK","Out of range")</f>
        <v>OK</v>
      </c>
      <c r="F31" s="23" t="str">
        <f aca="false">IF(AND(ISNUMBER(Legacy_Employees!F31),Legacy_Employees!F31&lt;=Config!$I$8),"OK","Check date")</f>
        <v>OK</v>
      </c>
      <c r="G31" s="23" t="str">
        <f aca="false">IF(COUNTIF(B31:F31,"OK")=5,"Pass","Fail")</f>
        <v>Pass</v>
      </c>
    </row>
    <row r="32" customFormat="false" ht="15" hidden="false" customHeight="false" outlineLevel="0" collapsed="false">
      <c r="A32" s="9" t="str">
        <f aca="false">Legacy_Employees!A32</f>
        <v>E1028</v>
      </c>
      <c r="B32" s="23" t="str">
        <f aca="false">IF(COUNTIF(Legacy_Employees!$A$5:$A$66,A32)&gt;1,"Duplicate","OK")</f>
        <v>OK</v>
      </c>
      <c r="C32" s="23" t="str">
        <f aca="false">IF(OR(Legacy_Employees!H32="",ISERROR(FIND("@",Legacy_Employees!H32))),"Missing/invalid","OK")</f>
        <v>OK</v>
      </c>
      <c r="D32" s="23" t="str">
        <f aca="false">IF(COUNTIF(Config!$A$5:$A$9,Legacy_Employees!E32)=0,"Invalid code","OK")</f>
        <v>OK</v>
      </c>
      <c r="E32" s="23" t="str">
        <f aca="false">IF(AND(Legacy_Employees!G32&gt;=Config!$I$5,Legacy_Employees!G32&lt;=Config!$I$6),"OK","Out of range")</f>
        <v>OK</v>
      </c>
      <c r="F32" s="23" t="str">
        <f aca="false">IF(AND(ISNUMBER(Legacy_Employees!F32),Legacy_Employees!F32&lt;=Config!$I$8),"OK","Check date")</f>
        <v>Check date</v>
      </c>
      <c r="G32" s="23" t="str">
        <f aca="false">IF(COUNTIF(B32:F32,"OK")=5,"Pass","Fail")</f>
        <v>Fail</v>
      </c>
    </row>
    <row r="33" customFormat="false" ht="15" hidden="false" customHeight="false" outlineLevel="0" collapsed="false">
      <c r="A33" s="9" t="str">
        <f aca="false">Legacy_Employees!A33</f>
        <v>E1029</v>
      </c>
      <c r="B33" s="23" t="str">
        <f aca="false">IF(COUNTIF(Legacy_Employees!$A$5:$A$66,A33)&gt;1,"Duplicate","OK")</f>
        <v>OK</v>
      </c>
      <c r="C33" s="23" t="str">
        <f aca="false">IF(OR(Legacy_Employees!H33="",ISERROR(FIND("@",Legacy_Employees!H33))),"Missing/invalid","OK")</f>
        <v>OK</v>
      </c>
      <c r="D33" s="23" t="str">
        <f aca="false">IF(COUNTIF(Config!$A$5:$A$9,Legacy_Employees!E33)=0,"Invalid code","OK")</f>
        <v>OK</v>
      </c>
      <c r="E33" s="23" t="str">
        <f aca="false">IF(AND(Legacy_Employees!G33&gt;=Config!$I$5,Legacy_Employees!G33&lt;=Config!$I$6),"OK","Out of range")</f>
        <v>OK</v>
      </c>
      <c r="F33" s="23" t="str">
        <f aca="false">IF(AND(ISNUMBER(Legacy_Employees!F33),Legacy_Employees!F33&lt;=Config!$I$8),"OK","Check date")</f>
        <v>OK</v>
      </c>
      <c r="G33" s="23" t="str">
        <f aca="false">IF(COUNTIF(B33:F33,"OK")=5,"Pass","Fail")</f>
        <v>Pass</v>
      </c>
    </row>
    <row r="34" customFormat="false" ht="15" hidden="false" customHeight="false" outlineLevel="0" collapsed="false">
      <c r="A34" s="9" t="str">
        <f aca="false">Legacy_Employees!A34</f>
        <v>E1030</v>
      </c>
      <c r="B34" s="23" t="str">
        <f aca="false">IF(COUNTIF(Legacy_Employees!$A$5:$A$66,A34)&gt;1,"Duplicate","OK")</f>
        <v>OK</v>
      </c>
      <c r="C34" s="23" t="str">
        <f aca="false">IF(OR(Legacy_Employees!H34="",ISERROR(FIND("@",Legacy_Employees!H34))),"Missing/invalid","OK")</f>
        <v>OK</v>
      </c>
      <c r="D34" s="23" t="str">
        <f aca="false">IF(COUNTIF(Config!$A$5:$A$9,Legacy_Employees!E34)=0,"Invalid code","OK")</f>
        <v>OK</v>
      </c>
      <c r="E34" s="23" t="str">
        <f aca="false">IF(AND(Legacy_Employees!G34&gt;=Config!$I$5,Legacy_Employees!G34&lt;=Config!$I$6),"OK","Out of range")</f>
        <v>OK</v>
      </c>
      <c r="F34" s="23" t="str">
        <f aca="false">IF(AND(ISNUMBER(Legacy_Employees!F34),Legacy_Employees!F34&lt;=Config!$I$8),"OK","Check date")</f>
        <v>OK</v>
      </c>
      <c r="G34" s="23" t="str">
        <f aca="false">IF(COUNTIF(B34:F34,"OK")=5,"Pass","Fail")</f>
        <v>Pass</v>
      </c>
    </row>
    <row r="35" customFormat="false" ht="15" hidden="false" customHeight="false" outlineLevel="0" collapsed="false">
      <c r="A35" s="9" t="str">
        <f aca="false">Legacy_Employees!A35</f>
        <v>E1031</v>
      </c>
      <c r="B35" s="23" t="str">
        <f aca="false">IF(COUNTIF(Legacy_Employees!$A$5:$A$66,A35)&gt;1,"Duplicate","OK")</f>
        <v>OK</v>
      </c>
      <c r="C35" s="23" t="str">
        <f aca="false">IF(OR(Legacy_Employees!H35="",ISERROR(FIND("@",Legacy_Employees!H35))),"Missing/invalid","OK")</f>
        <v>OK</v>
      </c>
      <c r="D35" s="23" t="str">
        <f aca="false">IF(COUNTIF(Config!$A$5:$A$9,Legacy_Employees!E35)=0,"Invalid code","OK")</f>
        <v>OK</v>
      </c>
      <c r="E35" s="23" t="str">
        <f aca="false">IF(AND(Legacy_Employees!G35&gt;=Config!$I$5,Legacy_Employees!G35&lt;=Config!$I$6),"OK","Out of range")</f>
        <v>OK</v>
      </c>
      <c r="F35" s="23" t="str">
        <f aca="false">IF(AND(ISNUMBER(Legacy_Employees!F35),Legacy_Employees!F35&lt;=Config!$I$8),"OK","Check date")</f>
        <v>OK</v>
      </c>
      <c r="G35" s="23" t="str">
        <f aca="false">IF(COUNTIF(B35:F35,"OK")=5,"Pass","Fail")</f>
        <v>Pass</v>
      </c>
    </row>
    <row r="36" customFormat="false" ht="15" hidden="false" customHeight="false" outlineLevel="0" collapsed="false">
      <c r="A36" s="9" t="str">
        <f aca="false">Legacy_Employees!A36</f>
        <v>E1032</v>
      </c>
      <c r="B36" s="23" t="str">
        <f aca="false">IF(COUNTIF(Legacy_Employees!$A$5:$A$66,A36)&gt;1,"Duplicate","OK")</f>
        <v>OK</v>
      </c>
      <c r="C36" s="23" t="str">
        <f aca="false">IF(OR(Legacy_Employees!H36="",ISERROR(FIND("@",Legacy_Employees!H36))),"Missing/invalid","OK")</f>
        <v>OK</v>
      </c>
      <c r="D36" s="23" t="str">
        <f aca="false">IF(COUNTIF(Config!$A$5:$A$9,Legacy_Employees!E36)=0,"Invalid code","OK")</f>
        <v>OK</v>
      </c>
      <c r="E36" s="23" t="str">
        <f aca="false">IF(AND(Legacy_Employees!G36&gt;=Config!$I$5,Legacy_Employees!G36&lt;=Config!$I$6),"OK","Out of range")</f>
        <v>OK</v>
      </c>
      <c r="F36" s="23" t="str">
        <f aca="false">IF(AND(ISNUMBER(Legacy_Employees!F36),Legacy_Employees!F36&lt;=Config!$I$8),"OK","Check date")</f>
        <v>OK</v>
      </c>
      <c r="G36" s="23" t="str">
        <f aca="false">IF(COUNTIF(B36:F36,"OK")=5,"Pass","Fail")</f>
        <v>Pass</v>
      </c>
    </row>
    <row r="37" customFormat="false" ht="15" hidden="false" customHeight="false" outlineLevel="0" collapsed="false">
      <c r="A37" s="9" t="str">
        <f aca="false">Legacy_Employees!A37</f>
        <v>E1033</v>
      </c>
      <c r="B37" s="23" t="str">
        <f aca="false">IF(COUNTIF(Legacy_Employees!$A$5:$A$66,A37)&gt;1,"Duplicate","OK")</f>
        <v>OK</v>
      </c>
      <c r="C37" s="23" t="str">
        <f aca="false">IF(OR(Legacy_Employees!H37="",ISERROR(FIND("@",Legacy_Employees!H37))),"Missing/invalid","OK")</f>
        <v>OK</v>
      </c>
      <c r="D37" s="23" t="str">
        <f aca="false">IF(COUNTIF(Config!$A$5:$A$9,Legacy_Employees!E37)=0,"Invalid code","OK")</f>
        <v>OK</v>
      </c>
      <c r="E37" s="23" t="str">
        <f aca="false">IF(AND(Legacy_Employees!G37&gt;=Config!$I$5,Legacy_Employees!G37&lt;=Config!$I$6),"OK","Out of range")</f>
        <v>OK</v>
      </c>
      <c r="F37" s="23" t="str">
        <f aca="false">IF(AND(ISNUMBER(Legacy_Employees!F37),Legacy_Employees!F37&lt;=Config!$I$8),"OK","Check date")</f>
        <v>OK</v>
      </c>
      <c r="G37" s="23" t="str">
        <f aca="false">IF(COUNTIF(B37:F37,"OK")=5,"Pass","Fail")</f>
        <v>Pass</v>
      </c>
    </row>
    <row r="38" customFormat="false" ht="15" hidden="false" customHeight="false" outlineLevel="0" collapsed="false">
      <c r="A38" s="9" t="str">
        <f aca="false">Legacy_Employees!A38</f>
        <v>E1034</v>
      </c>
      <c r="B38" s="23" t="str">
        <f aca="false">IF(COUNTIF(Legacy_Employees!$A$5:$A$66,A38)&gt;1,"Duplicate","OK")</f>
        <v>OK</v>
      </c>
      <c r="C38" s="23" t="str">
        <f aca="false">IF(OR(Legacy_Employees!H38="",ISERROR(FIND("@",Legacy_Employees!H38))),"Missing/invalid","OK")</f>
        <v>Missing/invalid</v>
      </c>
      <c r="D38" s="23" t="str">
        <f aca="false">IF(COUNTIF(Config!$A$5:$A$9,Legacy_Employees!E38)=0,"Invalid code","OK")</f>
        <v>OK</v>
      </c>
      <c r="E38" s="23" t="str">
        <f aca="false">IF(AND(Legacy_Employees!G38&gt;=Config!$I$5,Legacy_Employees!G38&lt;=Config!$I$6),"OK","Out of range")</f>
        <v>OK</v>
      </c>
      <c r="F38" s="23" t="str">
        <f aca="false">IF(AND(ISNUMBER(Legacy_Employees!F38),Legacy_Employees!F38&lt;=Config!$I$8),"OK","Check date")</f>
        <v>OK</v>
      </c>
      <c r="G38" s="23" t="str">
        <f aca="false">IF(COUNTIF(B38:F38,"OK")=5,"Pass","Fail")</f>
        <v>Fail</v>
      </c>
    </row>
    <row r="39" customFormat="false" ht="15" hidden="false" customHeight="false" outlineLevel="0" collapsed="false">
      <c r="A39" s="9" t="str">
        <f aca="false">Legacy_Employees!A39</f>
        <v>E1035</v>
      </c>
      <c r="B39" s="23" t="str">
        <f aca="false">IF(COUNTIF(Legacy_Employees!$A$5:$A$66,A39)&gt;1,"Duplicate","OK")</f>
        <v>OK</v>
      </c>
      <c r="C39" s="23" t="str">
        <f aca="false">IF(OR(Legacy_Employees!H39="",ISERROR(FIND("@",Legacy_Employees!H39))),"Missing/invalid","OK")</f>
        <v>OK</v>
      </c>
      <c r="D39" s="23" t="str">
        <f aca="false">IF(COUNTIF(Config!$A$5:$A$9,Legacy_Employees!E39)=0,"Invalid code","OK")</f>
        <v>OK</v>
      </c>
      <c r="E39" s="23" t="str">
        <f aca="false">IF(AND(Legacy_Employees!G39&gt;=Config!$I$5,Legacy_Employees!G39&lt;=Config!$I$6),"OK","Out of range")</f>
        <v>OK</v>
      </c>
      <c r="F39" s="23" t="str">
        <f aca="false">IF(AND(ISNUMBER(Legacy_Employees!F39),Legacy_Employees!F39&lt;=Config!$I$8),"OK","Check date")</f>
        <v>OK</v>
      </c>
      <c r="G39" s="23" t="str">
        <f aca="false">IF(COUNTIF(B39:F39,"OK")=5,"Pass","Fail")</f>
        <v>Pass</v>
      </c>
    </row>
    <row r="40" customFormat="false" ht="15" hidden="false" customHeight="false" outlineLevel="0" collapsed="false">
      <c r="A40" s="9" t="str">
        <f aca="false">Legacy_Employees!A40</f>
        <v>E1036</v>
      </c>
      <c r="B40" s="23" t="str">
        <f aca="false">IF(COUNTIF(Legacy_Employees!$A$5:$A$66,A40)&gt;1,"Duplicate","OK")</f>
        <v>OK</v>
      </c>
      <c r="C40" s="23" t="str">
        <f aca="false">IF(OR(Legacy_Employees!H40="",ISERROR(FIND("@",Legacy_Employees!H40))),"Missing/invalid","OK")</f>
        <v>OK</v>
      </c>
      <c r="D40" s="23" t="str">
        <f aca="false">IF(COUNTIF(Config!$A$5:$A$9,Legacy_Employees!E40)=0,"Invalid code","OK")</f>
        <v>OK</v>
      </c>
      <c r="E40" s="23" t="str">
        <f aca="false">IF(AND(Legacy_Employees!G40&gt;=Config!$I$5,Legacy_Employees!G40&lt;=Config!$I$6),"OK","Out of range")</f>
        <v>OK</v>
      </c>
      <c r="F40" s="23" t="str">
        <f aca="false">IF(AND(ISNUMBER(Legacy_Employees!F40),Legacy_Employees!F40&lt;=Config!$I$8),"OK","Check date")</f>
        <v>OK</v>
      </c>
      <c r="G40" s="23" t="str">
        <f aca="false">IF(COUNTIF(B40:F40,"OK")=5,"Pass","Fail")</f>
        <v>Pass</v>
      </c>
    </row>
    <row r="41" customFormat="false" ht="15" hidden="false" customHeight="false" outlineLevel="0" collapsed="false">
      <c r="A41" s="9" t="str">
        <f aca="false">Legacy_Employees!A41</f>
        <v>E1037</v>
      </c>
      <c r="B41" s="23" t="str">
        <f aca="false">IF(COUNTIF(Legacy_Employees!$A$5:$A$66,A41)&gt;1,"Duplicate","OK")</f>
        <v>OK</v>
      </c>
      <c r="C41" s="23" t="str">
        <f aca="false">IF(OR(Legacy_Employees!H41="",ISERROR(FIND("@",Legacy_Employees!H41))),"Missing/invalid","OK")</f>
        <v>OK</v>
      </c>
      <c r="D41" s="23" t="str">
        <f aca="false">IF(COUNTIF(Config!$A$5:$A$9,Legacy_Employees!E41)=0,"Invalid code","OK")</f>
        <v>OK</v>
      </c>
      <c r="E41" s="23" t="str">
        <f aca="false">IF(AND(Legacy_Employees!G41&gt;=Config!$I$5,Legacy_Employees!G41&lt;=Config!$I$6),"OK","Out of range")</f>
        <v>OK</v>
      </c>
      <c r="F41" s="23" t="str">
        <f aca="false">IF(AND(ISNUMBER(Legacy_Employees!F41),Legacy_Employees!F41&lt;=Config!$I$8),"OK","Check date")</f>
        <v>OK</v>
      </c>
      <c r="G41" s="23" t="str">
        <f aca="false">IF(COUNTIF(B41:F41,"OK")=5,"Pass","Fail")</f>
        <v>Pass</v>
      </c>
    </row>
    <row r="42" customFormat="false" ht="15" hidden="false" customHeight="false" outlineLevel="0" collapsed="false">
      <c r="A42" s="9" t="str">
        <f aca="false">Legacy_Employees!A42</f>
        <v>E1038</v>
      </c>
      <c r="B42" s="23" t="str">
        <f aca="false">IF(COUNTIF(Legacy_Employees!$A$5:$A$66,A42)&gt;1,"Duplicate","OK")</f>
        <v>OK</v>
      </c>
      <c r="C42" s="23" t="str">
        <f aca="false">IF(OR(Legacy_Employees!H42="",ISERROR(FIND("@",Legacy_Employees!H42))),"Missing/invalid","OK")</f>
        <v>OK</v>
      </c>
      <c r="D42" s="23" t="str">
        <f aca="false">IF(COUNTIF(Config!$A$5:$A$9,Legacy_Employees!E42)=0,"Invalid code","OK")</f>
        <v>OK</v>
      </c>
      <c r="E42" s="23" t="str">
        <f aca="false">IF(AND(Legacy_Employees!G42&gt;=Config!$I$5,Legacy_Employees!G42&lt;=Config!$I$6),"OK","Out of range")</f>
        <v>OK</v>
      </c>
      <c r="F42" s="23" t="str">
        <f aca="false">IF(AND(ISNUMBER(Legacy_Employees!F42),Legacy_Employees!F42&lt;=Config!$I$8),"OK","Check date")</f>
        <v>OK</v>
      </c>
      <c r="G42" s="23" t="str">
        <f aca="false">IF(COUNTIF(B42:F42,"OK")=5,"Pass","Fail")</f>
        <v>Pass</v>
      </c>
    </row>
    <row r="43" customFormat="false" ht="15" hidden="false" customHeight="false" outlineLevel="0" collapsed="false">
      <c r="A43" s="9" t="str">
        <f aca="false">Legacy_Employees!A43</f>
        <v>E1039</v>
      </c>
      <c r="B43" s="23" t="str">
        <f aca="false">IF(COUNTIF(Legacy_Employees!$A$5:$A$66,A43)&gt;1,"Duplicate","OK")</f>
        <v>OK</v>
      </c>
      <c r="C43" s="23" t="str">
        <f aca="false">IF(OR(Legacy_Employees!H43="",ISERROR(FIND("@",Legacy_Employees!H43))),"Missing/invalid","OK")</f>
        <v>OK</v>
      </c>
      <c r="D43" s="23" t="str">
        <f aca="false">IF(COUNTIF(Config!$A$5:$A$9,Legacy_Employees!E43)=0,"Invalid code","OK")</f>
        <v>OK</v>
      </c>
      <c r="E43" s="23" t="str">
        <f aca="false">IF(AND(Legacy_Employees!G43&gt;=Config!$I$5,Legacy_Employees!G43&lt;=Config!$I$6),"OK","Out of range")</f>
        <v>OK</v>
      </c>
      <c r="F43" s="23" t="str">
        <f aca="false">IF(AND(ISNUMBER(Legacy_Employees!F43),Legacy_Employees!F43&lt;=Config!$I$8),"OK","Check date")</f>
        <v>OK</v>
      </c>
      <c r="G43" s="23" t="str">
        <f aca="false">IF(COUNTIF(B43:F43,"OK")=5,"Pass","Fail")</f>
        <v>Pass</v>
      </c>
    </row>
    <row r="44" customFormat="false" ht="15" hidden="false" customHeight="false" outlineLevel="0" collapsed="false">
      <c r="A44" s="9" t="str">
        <f aca="false">Legacy_Employees!A44</f>
        <v>E1040</v>
      </c>
      <c r="B44" s="23" t="str">
        <f aca="false">IF(COUNTIF(Legacy_Employees!$A$5:$A$66,A44)&gt;1,"Duplicate","OK")</f>
        <v>OK</v>
      </c>
      <c r="C44" s="23" t="str">
        <f aca="false">IF(OR(Legacy_Employees!H44="",ISERROR(FIND("@",Legacy_Employees!H44))),"Missing/invalid","OK")</f>
        <v>OK</v>
      </c>
      <c r="D44" s="23" t="str">
        <f aca="false">IF(COUNTIF(Config!$A$5:$A$9,Legacy_Employees!E44)=0,"Invalid code","OK")</f>
        <v>OK</v>
      </c>
      <c r="E44" s="23" t="str">
        <f aca="false">IF(AND(Legacy_Employees!G44&gt;=Config!$I$5,Legacy_Employees!G44&lt;=Config!$I$6),"OK","Out of range")</f>
        <v>OK</v>
      </c>
      <c r="F44" s="23" t="str">
        <f aca="false">IF(AND(ISNUMBER(Legacy_Employees!F44),Legacy_Employees!F44&lt;=Config!$I$8),"OK","Check date")</f>
        <v>OK</v>
      </c>
      <c r="G44" s="23" t="str">
        <f aca="false">IF(COUNTIF(B44:F44,"OK")=5,"Pass","Fail")</f>
        <v>Pass</v>
      </c>
    </row>
    <row r="45" customFormat="false" ht="15" hidden="false" customHeight="false" outlineLevel="0" collapsed="false">
      <c r="A45" s="9" t="str">
        <f aca="false">Legacy_Employees!A45</f>
        <v>E1041</v>
      </c>
      <c r="B45" s="23" t="str">
        <f aca="false">IF(COUNTIF(Legacy_Employees!$A$5:$A$66,A45)&gt;1,"Duplicate","OK")</f>
        <v>OK</v>
      </c>
      <c r="C45" s="23" t="str">
        <f aca="false">IF(OR(Legacy_Employees!H45="",ISERROR(FIND("@",Legacy_Employees!H45))),"Missing/invalid","OK")</f>
        <v>OK</v>
      </c>
      <c r="D45" s="23" t="str">
        <f aca="false">IF(COUNTIF(Config!$A$5:$A$9,Legacy_Employees!E45)=0,"Invalid code","OK")</f>
        <v>OK</v>
      </c>
      <c r="E45" s="23" t="str">
        <f aca="false">IF(AND(Legacy_Employees!G45&gt;=Config!$I$5,Legacy_Employees!G45&lt;=Config!$I$6),"OK","Out of range")</f>
        <v>OK</v>
      </c>
      <c r="F45" s="23" t="str">
        <f aca="false">IF(AND(ISNUMBER(Legacy_Employees!F45),Legacy_Employees!F45&lt;=Config!$I$8),"OK","Check date")</f>
        <v>OK</v>
      </c>
      <c r="G45" s="23" t="str">
        <f aca="false">IF(COUNTIF(B45:F45,"OK")=5,"Pass","Fail")</f>
        <v>Pass</v>
      </c>
    </row>
    <row r="46" customFormat="false" ht="15" hidden="false" customHeight="false" outlineLevel="0" collapsed="false">
      <c r="A46" s="9" t="str">
        <f aca="false">Legacy_Employees!A46</f>
        <v>E1042</v>
      </c>
      <c r="B46" s="23" t="str">
        <f aca="false">IF(COUNTIF(Legacy_Employees!$A$5:$A$66,A46)&gt;1,"Duplicate","OK")</f>
        <v>OK</v>
      </c>
      <c r="C46" s="23" t="str">
        <f aca="false">IF(OR(Legacy_Employees!H46="",ISERROR(FIND("@",Legacy_Employees!H46))),"Missing/invalid","OK")</f>
        <v>OK</v>
      </c>
      <c r="D46" s="23" t="str">
        <f aca="false">IF(COUNTIF(Config!$A$5:$A$9,Legacy_Employees!E46)=0,"Invalid code","OK")</f>
        <v>Invalid code</v>
      </c>
      <c r="E46" s="23" t="str">
        <f aca="false">IF(AND(Legacy_Employees!G46&gt;=Config!$I$5,Legacy_Employees!G46&lt;=Config!$I$6),"OK","Out of range")</f>
        <v>OK</v>
      </c>
      <c r="F46" s="23" t="str">
        <f aca="false">IF(AND(ISNUMBER(Legacy_Employees!F46),Legacy_Employees!F46&lt;=Config!$I$8),"OK","Check date")</f>
        <v>OK</v>
      </c>
      <c r="G46" s="23" t="str">
        <f aca="false">IF(COUNTIF(B46:F46,"OK")=5,"Pass","Fail")</f>
        <v>Fail</v>
      </c>
    </row>
    <row r="47" customFormat="false" ht="15" hidden="false" customHeight="false" outlineLevel="0" collapsed="false">
      <c r="A47" s="9" t="str">
        <f aca="false">Legacy_Employees!A47</f>
        <v>E1043</v>
      </c>
      <c r="B47" s="23" t="str">
        <f aca="false">IF(COUNTIF(Legacy_Employees!$A$5:$A$66,A47)&gt;1,"Duplicate","OK")</f>
        <v>OK</v>
      </c>
      <c r="C47" s="23" t="str">
        <f aca="false">IF(OR(Legacy_Employees!H47="",ISERROR(FIND("@",Legacy_Employees!H47))),"Missing/invalid","OK")</f>
        <v>OK</v>
      </c>
      <c r="D47" s="23" t="str">
        <f aca="false">IF(COUNTIF(Config!$A$5:$A$9,Legacy_Employees!E47)=0,"Invalid code","OK")</f>
        <v>OK</v>
      </c>
      <c r="E47" s="23" t="str">
        <f aca="false">IF(AND(Legacy_Employees!G47&gt;=Config!$I$5,Legacy_Employees!G47&lt;=Config!$I$6),"OK","Out of range")</f>
        <v>OK</v>
      </c>
      <c r="F47" s="23" t="str">
        <f aca="false">IF(AND(ISNUMBER(Legacy_Employees!F47),Legacy_Employees!F47&lt;=Config!$I$8),"OK","Check date")</f>
        <v>OK</v>
      </c>
      <c r="G47" s="23" t="str">
        <f aca="false">IF(COUNTIF(B47:F47,"OK")=5,"Pass","Fail")</f>
        <v>Pass</v>
      </c>
    </row>
    <row r="48" customFormat="false" ht="15" hidden="false" customHeight="false" outlineLevel="0" collapsed="false">
      <c r="A48" s="9" t="str">
        <f aca="false">Legacy_Employees!A48</f>
        <v>E1044</v>
      </c>
      <c r="B48" s="23" t="str">
        <f aca="false">IF(COUNTIF(Legacy_Employees!$A$5:$A$66,A48)&gt;1,"Duplicate","OK")</f>
        <v>OK</v>
      </c>
      <c r="C48" s="23" t="str">
        <f aca="false">IF(OR(Legacy_Employees!H48="",ISERROR(FIND("@",Legacy_Employees!H48))),"Missing/invalid","OK")</f>
        <v>OK</v>
      </c>
      <c r="D48" s="23" t="str">
        <f aca="false">IF(COUNTIF(Config!$A$5:$A$9,Legacy_Employees!E48)=0,"Invalid code","OK")</f>
        <v>OK</v>
      </c>
      <c r="E48" s="23" t="str">
        <f aca="false">IF(AND(Legacy_Employees!G48&gt;=Config!$I$5,Legacy_Employees!G48&lt;=Config!$I$6),"OK","Out of range")</f>
        <v>OK</v>
      </c>
      <c r="F48" s="23" t="str">
        <f aca="false">IF(AND(ISNUMBER(Legacy_Employees!F48),Legacy_Employees!F48&lt;=Config!$I$8),"OK","Check date")</f>
        <v>OK</v>
      </c>
      <c r="G48" s="23" t="str">
        <f aca="false">IF(COUNTIF(B48:F48,"OK")=5,"Pass","Fail")</f>
        <v>Pass</v>
      </c>
    </row>
    <row r="49" customFormat="false" ht="15" hidden="false" customHeight="false" outlineLevel="0" collapsed="false">
      <c r="A49" s="9" t="str">
        <f aca="false">Legacy_Employees!A49</f>
        <v>E1045</v>
      </c>
      <c r="B49" s="23" t="str">
        <f aca="false">IF(COUNTIF(Legacy_Employees!$A$5:$A$66,A49)&gt;1,"Duplicate","OK")</f>
        <v>OK</v>
      </c>
      <c r="C49" s="23" t="str">
        <f aca="false">IF(OR(Legacy_Employees!H49="",ISERROR(FIND("@",Legacy_Employees!H49))),"Missing/invalid","OK")</f>
        <v>OK</v>
      </c>
      <c r="D49" s="23" t="str">
        <f aca="false">IF(COUNTIF(Config!$A$5:$A$9,Legacy_Employees!E49)=0,"Invalid code","OK")</f>
        <v>OK</v>
      </c>
      <c r="E49" s="23" t="str">
        <f aca="false">IF(AND(Legacy_Employees!G49&gt;=Config!$I$5,Legacy_Employees!G49&lt;=Config!$I$6),"OK","Out of range")</f>
        <v>OK</v>
      </c>
      <c r="F49" s="23" t="str">
        <f aca="false">IF(AND(ISNUMBER(Legacy_Employees!F49),Legacy_Employees!F49&lt;=Config!$I$8),"OK","Check date")</f>
        <v>OK</v>
      </c>
      <c r="G49" s="23" t="str">
        <f aca="false">IF(COUNTIF(B49:F49,"OK")=5,"Pass","Fail")</f>
        <v>Pass</v>
      </c>
    </row>
    <row r="50" customFormat="false" ht="15" hidden="false" customHeight="false" outlineLevel="0" collapsed="false">
      <c r="A50" s="9" t="str">
        <f aca="false">Legacy_Employees!A50</f>
        <v>E1046</v>
      </c>
      <c r="B50" s="23" t="str">
        <f aca="false">IF(COUNTIF(Legacy_Employees!$A$5:$A$66,A50)&gt;1,"Duplicate","OK")</f>
        <v>OK</v>
      </c>
      <c r="C50" s="23" t="str">
        <f aca="false">IF(OR(Legacy_Employees!H50="",ISERROR(FIND("@",Legacy_Employees!H50))),"Missing/invalid","OK")</f>
        <v>OK</v>
      </c>
      <c r="D50" s="23" t="str">
        <f aca="false">IF(COUNTIF(Config!$A$5:$A$9,Legacy_Employees!E50)=0,"Invalid code","OK")</f>
        <v>OK</v>
      </c>
      <c r="E50" s="23" t="str">
        <f aca="false">IF(AND(Legacy_Employees!G50&gt;=Config!$I$5,Legacy_Employees!G50&lt;=Config!$I$6),"OK","Out of range")</f>
        <v>OK</v>
      </c>
      <c r="F50" s="23" t="str">
        <f aca="false">IF(AND(ISNUMBER(Legacy_Employees!F50),Legacy_Employees!F50&lt;=Config!$I$8),"OK","Check date")</f>
        <v>OK</v>
      </c>
      <c r="G50" s="23" t="str">
        <f aca="false">IF(COUNTIF(B50:F50,"OK")=5,"Pass","Fail")</f>
        <v>Pass</v>
      </c>
    </row>
    <row r="51" customFormat="false" ht="15" hidden="false" customHeight="false" outlineLevel="0" collapsed="false">
      <c r="A51" s="9" t="str">
        <f aca="false">Legacy_Employees!A51</f>
        <v>E1047</v>
      </c>
      <c r="B51" s="23" t="str">
        <f aca="false">IF(COUNTIF(Legacy_Employees!$A$5:$A$66,A51)&gt;1,"Duplicate","OK")</f>
        <v>OK</v>
      </c>
      <c r="C51" s="23" t="str">
        <f aca="false">IF(OR(Legacy_Employees!H51="",ISERROR(FIND("@",Legacy_Employees!H51))),"Missing/invalid","OK")</f>
        <v>OK</v>
      </c>
      <c r="D51" s="23" t="str">
        <f aca="false">IF(COUNTIF(Config!$A$5:$A$9,Legacy_Employees!E51)=0,"Invalid code","OK")</f>
        <v>OK</v>
      </c>
      <c r="E51" s="23" t="str">
        <f aca="false">IF(AND(Legacy_Employees!G51&gt;=Config!$I$5,Legacy_Employees!G51&lt;=Config!$I$6),"OK","Out of range")</f>
        <v>OK</v>
      </c>
      <c r="F51" s="23" t="str">
        <f aca="false">IF(AND(ISNUMBER(Legacy_Employees!F51),Legacy_Employees!F51&lt;=Config!$I$8),"OK","Check date")</f>
        <v>OK</v>
      </c>
      <c r="G51" s="23" t="str">
        <f aca="false">IF(COUNTIF(B51:F51,"OK")=5,"Pass","Fail")</f>
        <v>Pass</v>
      </c>
    </row>
    <row r="52" customFormat="false" ht="15" hidden="false" customHeight="false" outlineLevel="0" collapsed="false">
      <c r="A52" s="9" t="str">
        <f aca="false">Legacy_Employees!A52</f>
        <v>E1048</v>
      </c>
      <c r="B52" s="23" t="str">
        <f aca="false">IF(COUNTIF(Legacy_Employees!$A$5:$A$66,A52)&gt;1,"Duplicate","OK")</f>
        <v>OK</v>
      </c>
      <c r="C52" s="23" t="str">
        <f aca="false">IF(OR(Legacy_Employees!H52="",ISERROR(FIND("@",Legacy_Employees!H52))),"Missing/invalid","OK")</f>
        <v>OK</v>
      </c>
      <c r="D52" s="23" t="str">
        <f aca="false">IF(COUNTIF(Config!$A$5:$A$9,Legacy_Employees!E52)=0,"Invalid code","OK")</f>
        <v>OK</v>
      </c>
      <c r="E52" s="23" t="str">
        <f aca="false">IF(AND(Legacy_Employees!G52&gt;=Config!$I$5,Legacy_Employees!G52&lt;=Config!$I$6),"OK","Out of range")</f>
        <v>OK</v>
      </c>
      <c r="F52" s="23" t="str">
        <f aca="false">IF(AND(ISNUMBER(Legacy_Employees!F52),Legacy_Employees!F52&lt;=Config!$I$8),"OK","Check date")</f>
        <v>OK</v>
      </c>
      <c r="G52" s="23" t="str">
        <f aca="false">IF(COUNTIF(B52:F52,"OK")=5,"Pass","Fail")</f>
        <v>Pass</v>
      </c>
    </row>
    <row r="53" customFormat="false" ht="15" hidden="false" customHeight="false" outlineLevel="0" collapsed="false">
      <c r="A53" s="9" t="str">
        <f aca="false">Legacy_Employees!A53</f>
        <v>E1049</v>
      </c>
      <c r="B53" s="23" t="str">
        <f aca="false">IF(COUNTIF(Legacy_Employees!$A$5:$A$66,A53)&gt;1,"Duplicate","OK")</f>
        <v>OK</v>
      </c>
      <c r="C53" s="23" t="str">
        <f aca="false">IF(OR(Legacy_Employees!H53="",ISERROR(FIND("@",Legacy_Employees!H53))),"Missing/invalid","OK")</f>
        <v>OK</v>
      </c>
      <c r="D53" s="23" t="str">
        <f aca="false">IF(COUNTIF(Config!$A$5:$A$9,Legacy_Employees!E53)=0,"Invalid code","OK")</f>
        <v>OK</v>
      </c>
      <c r="E53" s="23" t="str">
        <f aca="false">IF(AND(Legacy_Employees!G53&gt;=Config!$I$5,Legacy_Employees!G53&lt;=Config!$I$6),"OK","Out of range")</f>
        <v>OK</v>
      </c>
      <c r="F53" s="23" t="str">
        <f aca="false">IF(AND(ISNUMBER(Legacy_Employees!F53),Legacy_Employees!F53&lt;=Config!$I$8),"OK","Check date")</f>
        <v>OK</v>
      </c>
      <c r="G53" s="23" t="str">
        <f aca="false">IF(COUNTIF(B53:F53,"OK")=5,"Pass","Fail")</f>
        <v>Pass</v>
      </c>
    </row>
    <row r="54" customFormat="false" ht="15" hidden="false" customHeight="false" outlineLevel="0" collapsed="false">
      <c r="A54" s="9" t="str">
        <f aca="false">Legacy_Employees!A54</f>
        <v>E1050</v>
      </c>
      <c r="B54" s="23" t="str">
        <f aca="false">IF(COUNTIF(Legacy_Employees!$A$5:$A$66,A54)&gt;1,"Duplicate","OK")</f>
        <v>OK</v>
      </c>
      <c r="C54" s="23" t="str">
        <f aca="false">IF(OR(Legacy_Employees!H54="",ISERROR(FIND("@",Legacy_Employees!H54))),"Missing/invalid","OK")</f>
        <v>OK</v>
      </c>
      <c r="D54" s="23" t="str">
        <f aca="false">IF(COUNTIF(Config!$A$5:$A$9,Legacy_Employees!E54)=0,"Invalid code","OK")</f>
        <v>OK</v>
      </c>
      <c r="E54" s="23" t="str">
        <f aca="false">IF(AND(Legacy_Employees!G54&gt;=Config!$I$5,Legacy_Employees!G54&lt;=Config!$I$6),"OK","Out of range")</f>
        <v>OK</v>
      </c>
      <c r="F54" s="23" t="str">
        <f aca="false">IF(AND(ISNUMBER(Legacy_Employees!F54),Legacy_Employees!F54&lt;=Config!$I$8),"OK","Check date")</f>
        <v>OK</v>
      </c>
      <c r="G54" s="23" t="str">
        <f aca="false">IF(COUNTIF(B54:F54,"OK")=5,"Pass","Fail")</f>
        <v>Pass</v>
      </c>
    </row>
    <row r="55" customFormat="false" ht="15" hidden="false" customHeight="false" outlineLevel="0" collapsed="false">
      <c r="A55" s="9" t="str">
        <f aca="false">Legacy_Employees!A55</f>
        <v>E1051</v>
      </c>
      <c r="B55" s="23" t="str">
        <f aca="false">IF(COUNTIF(Legacy_Employees!$A$5:$A$66,A55)&gt;1,"Duplicate","OK")</f>
        <v>OK</v>
      </c>
      <c r="C55" s="23" t="str">
        <f aca="false">IF(OR(Legacy_Employees!H55="",ISERROR(FIND("@",Legacy_Employees!H55))),"Missing/invalid","OK")</f>
        <v>OK</v>
      </c>
      <c r="D55" s="23" t="str">
        <f aca="false">IF(COUNTIF(Config!$A$5:$A$9,Legacy_Employees!E55)=0,"Invalid code","OK")</f>
        <v>OK</v>
      </c>
      <c r="E55" s="23" t="str">
        <f aca="false">IF(AND(Legacy_Employees!G55&gt;=Config!$I$5,Legacy_Employees!G55&lt;=Config!$I$6),"OK","Out of range")</f>
        <v>Out of range</v>
      </c>
      <c r="F55" s="23" t="str">
        <f aca="false">IF(AND(ISNUMBER(Legacy_Employees!F55),Legacy_Employees!F55&lt;=Config!$I$8),"OK","Check date")</f>
        <v>OK</v>
      </c>
      <c r="G55" s="23" t="str">
        <f aca="false">IF(COUNTIF(B55:F55,"OK")=5,"Pass","Fail")</f>
        <v>Fail</v>
      </c>
    </row>
    <row r="56" customFormat="false" ht="15" hidden="false" customHeight="false" outlineLevel="0" collapsed="false">
      <c r="A56" s="9" t="str">
        <f aca="false">Legacy_Employees!A56</f>
        <v>E1052</v>
      </c>
      <c r="B56" s="23" t="str">
        <f aca="false">IF(COUNTIF(Legacy_Employees!$A$5:$A$66,A56)&gt;1,"Duplicate","OK")</f>
        <v>OK</v>
      </c>
      <c r="C56" s="23" t="str">
        <f aca="false">IF(OR(Legacy_Employees!H56="",ISERROR(FIND("@",Legacy_Employees!H56))),"Missing/invalid","OK")</f>
        <v>OK</v>
      </c>
      <c r="D56" s="23" t="str">
        <f aca="false">IF(COUNTIF(Config!$A$5:$A$9,Legacy_Employees!E56)=0,"Invalid code","OK")</f>
        <v>OK</v>
      </c>
      <c r="E56" s="23" t="str">
        <f aca="false">IF(AND(Legacy_Employees!G56&gt;=Config!$I$5,Legacy_Employees!G56&lt;=Config!$I$6),"OK","Out of range")</f>
        <v>OK</v>
      </c>
      <c r="F56" s="23" t="str">
        <f aca="false">IF(AND(ISNUMBER(Legacy_Employees!F56),Legacy_Employees!F56&lt;=Config!$I$8),"OK","Check date")</f>
        <v>OK</v>
      </c>
      <c r="G56" s="23" t="str">
        <f aca="false">IF(COUNTIF(B56:F56,"OK")=5,"Pass","Fail")</f>
        <v>Pass</v>
      </c>
    </row>
    <row r="57" customFormat="false" ht="15" hidden="false" customHeight="false" outlineLevel="0" collapsed="false">
      <c r="A57" s="9" t="str">
        <f aca="false">Legacy_Employees!A57</f>
        <v>E1053</v>
      </c>
      <c r="B57" s="23" t="str">
        <f aca="false">IF(COUNTIF(Legacy_Employees!$A$5:$A$66,A57)&gt;1,"Duplicate","OK")</f>
        <v>OK</v>
      </c>
      <c r="C57" s="23" t="str">
        <f aca="false">IF(OR(Legacy_Employees!H57="",ISERROR(FIND("@",Legacy_Employees!H57))),"Missing/invalid","OK")</f>
        <v>OK</v>
      </c>
      <c r="D57" s="23" t="str">
        <f aca="false">IF(COUNTIF(Config!$A$5:$A$9,Legacy_Employees!E57)=0,"Invalid code","OK")</f>
        <v>OK</v>
      </c>
      <c r="E57" s="23" t="str">
        <f aca="false">IF(AND(Legacy_Employees!G57&gt;=Config!$I$5,Legacy_Employees!G57&lt;=Config!$I$6),"OK","Out of range")</f>
        <v>OK</v>
      </c>
      <c r="F57" s="23" t="str">
        <f aca="false">IF(AND(ISNUMBER(Legacy_Employees!F57),Legacy_Employees!F57&lt;=Config!$I$8),"OK","Check date")</f>
        <v>OK</v>
      </c>
      <c r="G57" s="23" t="str">
        <f aca="false">IF(COUNTIF(B57:F57,"OK")=5,"Pass","Fail")</f>
        <v>Pass</v>
      </c>
    </row>
    <row r="58" customFormat="false" ht="15" hidden="false" customHeight="false" outlineLevel="0" collapsed="false">
      <c r="A58" s="9" t="str">
        <f aca="false">Legacy_Employees!A58</f>
        <v>E1054</v>
      </c>
      <c r="B58" s="23" t="str">
        <f aca="false">IF(COUNTIF(Legacy_Employees!$A$5:$A$66,A58)&gt;1,"Duplicate","OK")</f>
        <v>OK</v>
      </c>
      <c r="C58" s="23" t="str">
        <f aca="false">IF(OR(Legacy_Employees!H58="",ISERROR(FIND("@",Legacy_Employees!H58))),"Missing/invalid","OK")</f>
        <v>OK</v>
      </c>
      <c r="D58" s="23" t="str">
        <f aca="false">IF(COUNTIF(Config!$A$5:$A$9,Legacy_Employees!E58)=0,"Invalid code","OK")</f>
        <v>OK</v>
      </c>
      <c r="E58" s="23" t="str">
        <f aca="false">IF(AND(Legacy_Employees!G58&gt;=Config!$I$5,Legacy_Employees!G58&lt;=Config!$I$6),"OK","Out of range")</f>
        <v>OK</v>
      </c>
      <c r="F58" s="23" t="str">
        <f aca="false">IF(AND(ISNUMBER(Legacy_Employees!F58),Legacy_Employees!F58&lt;=Config!$I$8),"OK","Check date")</f>
        <v>OK</v>
      </c>
      <c r="G58" s="23" t="str">
        <f aca="false">IF(COUNTIF(B58:F58,"OK")=5,"Pass","Fail")</f>
        <v>Pass</v>
      </c>
    </row>
    <row r="59" customFormat="false" ht="15" hidden="false" customHeight="false" outlineLevel="0" collapsed="false">
      <c r="A59" s="9" t="str">
        <f aca="false">Legacy_Employees!A59</f>
        <v>E1055</v>
      </c>
      <c r="B59" s="23" t="str">
        <f aca="false">IF(COUNTIF(Legacy_Employees!$A$5:$A$66,A59)&gt;1,"Duplicate","OK")</f>
        <v>OK</v>
      </c>
      <c r="C59" s="23" t="str">
        <f aca="false">IF(OR(Legacy_Employees!H59="",ISERROR(FIND("@",Legacy_Employees!H59))),"Missing/invalid","OK")</f>
        <v>OK</v>
      </c>
      <c r="D59" s="23" t="str">
        <f aca="false">IF(COUNTIF(Config!$A$5:$A$9,Legacy_Employees!E59)=0,"Invalid code","OK")</f>
        <v>OK</v>
      </c>
      <c r="E59" s="23" t="str">
        <f aca="false">IF(AND(Legacy_Employees!G59&gt;=Config!$I$5,Legacy_Employees!G59&lt;=Config!$I$6),"OK","Out of range")</f>
        <v>OK</v>
      </c>
      <c r="F59" s="23" t="str">
        <f aca="false">IF(AND(ISNUMBER(Legacy_Employees!F59),Legacy_Employees!F59&lt;=Config!$I$8),"OK","Check date")</f>
        <v>OK</v>
      </c>
      <c r="G59" s="23" t="str">
        <f aca="false">IF(COUNTIF(B59:F59,"OK")=5,"Pass","Fail")</f>
        <v>Pass</v>
      </c>
    </row>
    <row r="60" customFormat="false" ht="15" hidden="false" customHeight="false" outlineLevel="0" collapsed="false">
      <c r="A60" s="9" t="str">
        <f aca="false">Legacy_Employees!A60</f>
        <v>E1056</v>
      </c>
      <c r="B60" s="23" t="str">
        <f aca="false">IF(COUNTIF(Legacy_Employees!$A$5:$A$66,A60)&gt;1,"Duplicate","OK")</f>
        <v>OK</v>
      </c>
      <c r="C60" s="23" t="str">
        <f aca="false">IF(OR(Legacy_Employees!H60="",ISERROR(FIND("@",Legacy_Employees!H60))),"Missing/invalid","OK")</f>
        <v>OK</v>
      </c>
      <c r="D60" s="23" t="str">
        <f aca="false">IF(COUNTIF(Config!$A$5:$A$9,Legacy_Employees!E60)=0,"Invalid code","OK")</f>
        <v>OK</v>
      </c>
      <c r="E60" s="23" t="str">
        <f aca="false">IF(AND(Legacy_Employees!G60&gt;=Config!$I$5,Legacy_Employees!G60&lt;=Config!$I$6),"OK","Out of range")</f>
        <v>OK</v>
      </c>
      <c r="F60" s="23" t="str">
        <f aca="false">IF(AND(ISNUMBER(Legacy_Employees!F60),Legacy_Employees!F60&lt;=Config!$I$8),"OK","Check date")</f>
        <v>OK</v>
      </c>
      <c r="G60" s="23" t="str">
        <f aca="false">IF(COUNTIF(B60:F60,"OK")=5,"Pass","Fail")</f>
        <v>Pass</v>
      </c>
    </row>
    <row r="61" customFormat="false" ht="15" hidden="false" customHeight="false" outlineLevel="0" collapsed="false">
      <c r="A61" s="9" t="str">
        <f aca="false">Legacy_Employees!A61</f>
        <v>E1057</v>
      </c>
      <c r="B61" s="23" t="str">
        <f aca="false">IF(COUNTIF(Legacy_Employees!$A$5:$A$66,A61)&gt;1,"Duplicate","OK")</f>
        <v>OK</v>
      </c>
      <c r="C61" s="23" t="str">
        <f aca="false">IF(OR(Legacy_Employees!H61="",ISERROR(FIND("@",Legacy_Employees!H61))),"Missing/invalid","OK")</f>
        <v>OK</v>
      </c>
      <c r="D61" s="23" t="str">
        <f aca="false">IF(COUNTIF(Config!$A$5:$A$9,Legacy_Employees!E61)=0,"Invalid code","OK")</f>
        <v>OK</v>
      </c>
      <c r="E61" s="23" t="str">
        <f aca="false">IF(AND(Legacy_Employees!G61&gt;=Config!$I$5,Legacy_Employees!G61&lt;=Config!$I$6),"OK","Out of range")</f>
        <v>OK</v>
      </c>
      <c r="F61" s="23" t="str">
        <f aca="false">IF(AND(ISNUMBER(Legacy_Employees!F61),Legacy_Employees!F61&lt;=Config!$I$8),"OK","Check date")</f>
        <v>OK</v>
      </c>
      <c r="G61" s="23" t="str">
        <f aca="false">IF(COUNTIF(B61:F61,"OK")=5,"Pass","Fail")</f>
        <v>Pass</v>
      </c>
    </row>
    <row r="62" customFormat="false" ht="15" hidden="false" customHeight="false" outlineLevel="0" collapsed="false">
      <c r="A62" s="9" t="str">
        <f aca="false">Legacy_Employees!A62</f>
        <v>E1058</v>
      </c>
      <c r="B62" s="23" t="str">
        <f aca="false">IF(COUNTIF(Legacy_Employees!$A$5:$A$66,A62)&gt;1,"Duplicate","OK")</f>
        <v>OK</v>
      </c>
      <c r="C62" s="23" t="str">
        <f aca="false">IF(OR(Legacy_Employees!H62="",ISERROR(FIND("@",Legacy_Employees!H62))),"Missing/invalid","OK")</f>
        <v>OK</v>
      </c>
      <c r="D62" s="23" t="str">
        <f aca="false">IF(COUNTIF(Config!$A$5:$A$9,Legacy_Employees!E62)=0,"Invalid code","OK")</f>
        <v>OK</v>
      </c>
      <c r="E62" s="23" t="str">
        <f aca="false">IF(AND(Legacy_Employees!G62&gt;=Config!$I$5,Legacy_Employees!G62&lt;=Config!$I$6),"OK","Out of range")</f>
        <v>OK</v>
      </c>
      <c r="F62" s="23" t="str">
        <f aca="false">IF(AND(ISNUMBER(Legacy_Employees!F62),Legacy_Employees!F62&lt;=Config!$I$8),"OK","Check date")</f>
        <v>OK</v>
      </c>
      <c r="G62" s="23" t="str">
        <f aca="false">IF(COUNTIF(B62:F62,"OK")=5,"Pass","Fail")</f>
        <v>Pass</v>
      </c>
    </row>
    <row r="63" customFormat="false" ht="15" hidden="false" customHeight="false" outlineLevel="0" collapsed="false">
      <c r="A63" s="9" t="str">
        <f aca="false">Legacy_Employees!A63</f>
        <v>E1059</v>
      </c>
      <c r="B63" s="23" t="str">
        <f aca="false">IF(COUNTIF(Legacy_Employees!$A$5:$A$66,A63)&gt;1,"Duplicate","OK")</f>
        <v>OK</v>
      </c>
      <c r="C63" s="23" t="str">
        <f aca="false">IF(OR(Legacy_Employees!H63="",ISERROR(FIND("@",Legacy_Employees!H63))),"Missing/invalid","OK")</f>
        <v>OK</v>
      </c>
      <c r="D63" s="23" t="str">
        <f aca="false">IF(COUNTIF(Config!$A$5:$A$9,Legacy_Employees!E63)=0,"Invalid code","OK")</f>
        <v>OK</v>
      </c>
      <c r="E63" s="23" t="str">
        <f aca="false">IF(AND(Legacy_Employees!G63&gt;=Config!$I$5,Legacy_Employees!G63&lt;=Config!$I$6),"OK","Out of range")</f>
        <v>OK</v>
      </c>
      <c r="F63" s="23" t="str">
        <f aca="false">IF(AND(ISNUMBER(Legacy_Employees!F63),Legacy_Employees!F63&lt;=Config!$I$8),"OK","Check date")</f>
        <v>OK</v>
      </c>
      <c r="G63" s="23" t="str">
        <f aca="false">IF(COUNTIF(B63:F63,"OK")=5,"Pass","Fail")</f>
        <v>Pass</v>
      </c>
    </row>
    <row r="64" customFormat="false" ht="15" hidden="false" customHeight="false" outlineLevel="0" collapsed="false">
      <c r="A64" s="9" t="str">
        <f aca="false">Legacy_Employees!A64</f>
        <v>E1060</v>
      </c>
      <c r="B64" s="23" t="str">
        <f aca="false">IF(COUNTIF(Legacy_Employees!$A$5:$A$66,A64)&gt;1,"Duplicate","OK")</f>
        <v>OK</v>
      </c>
      <c r="C64" s="23" t="str">
        <f aca="false">IF(OR(Legacy_Employees!H64="",ISERROR(FIND("@",Legacy_Employees!H64))),"Missing/invalid","OK")</f>
        <v>OK</v>
      </c>
      <c r="D64" s="23" t="str">
        <f aca="false">IF(COUNTIF(Config!$A$5:$A$9,Legacy_Employees!E64)=0,"Invalid code","OK")</f>
        <v>OK</v>
      </c>
      <c r="E64" s="23" t="str">
        <f aca="false">IF(AND(Legacy_Employees!G64&gt;=Config!$I$5,Legacy_Employees!G64&lt;=Config!$I$6),"OK","Out of range")</f>
        <v>OK</v>
      </c>
      <c r="F64" s="23" t="str">
        <f aca="false">IF(AND(ISNUMBER(Legacy_Employees!F64),Legacy_Employees!F64&lt;=Config!$I$8),"OK","Check date")</f>
        <v>OK</v>
      </c>
      <c r="G64" s="23" t="str">
        <f aca="false">IF(COUNTIF(B64:F64,"OK")=5,"Pass","Fail")</f>
        <v>Pass</v>
      </c>
    </row>
    <row r="65" customFormat="false" ht="15" hidden="false" customHeight="false" outlineLevel="0" collapsed="false">
      <c r="A65" s="9" t="str">
        <f aca="false">Legacy_Employees!A65</f>
        <v>E1007</v>
      </c>
      <c r="B65" s="23" t="str">
        <f aca="false">IF(COUNTIF(Legacy_Employees!$A$5:$A$66,A65)&gt;1,"Duplicate","OK")</f>
        <v>Duplicate</v>
      </c>
      <c r="C65" s="23" t="str">
        <f aca="false">IF(OR(Legacy_Employees!H65="",ISERROR(FIND("@",Legacy_Employees!H65))),"Missing/invalid","OK")</f>
        <v>OK</v>
      </c>
      <c r="D65" s="23" t="str">
        <f aca="false">IF(COUNTIF(Config!$A$5:$A$9,Legacy_Employees!E65)=0,"Invalid code","OK")</f>
        <v>OK</v>
      </c>
      <c r="E65" s="23" t="str">
        <f aca="false">IF(AND(Legacy_Employees!G65&gt;=Config!$I$5,Legacy_Employees!G65&lt;=Config!$I$6),"OK","Out of range")</f>
        <v>OK</v>
      </c>
      <c r="F65" s="23" t="str">
        <f aca="false">IF(AND(ISNUMBER(Legacy_Employees!F65),Legacy_Employees!F65&lt;=Config!$I$8),"OK","Check date")</f>
        <v>OK</v>
      </c>
      <c r="G65" s="23" t="str">
        <f aca="false">IF(COUNTIF(B65:F65,"OK")=5,"Pass","Fail")</f>
        <v>Fail</v>
      </c>
    </row>
    <row r="66" customFormat="false" ht="15" hidden="false" customHeight="false" outlineLevel="0" collapsed="false">
      <c r="A66" s="9" t="str">
        <f aca="false">Legacy_Employees!A66</f>
        <v>E1023</v>
      </c>
      <c r="B66" s="23" t="str">
        <f aca="false">IF(COUNTIF(Legacy_Employees!$A$5:$A$66,A66)&gt;1,"Duplicate","OK")</f>
        <v>Duplicate</v>
      </c>
      <c r="C66" s="23" t="str">
        <f aca="false">IF(OR(Legacy_Employees!H66="",ISERROR(FIND("@",Legacy_Employees!H66))),"Missing/invalid","OK")</f>
        <v>OK</v>
      </c>
      <c r="D66" s="23" t="str">
        <f aca="false">IF(COUNTIF(Config!$A$5:$A$9,Legacy_Employees!E66)=0,"Invalid code","OK")</f>
        <v>OK</v>
      </c>
      <c r="E66" s="23" t="str">
        <f aca="false">IF(AND(Legacy_Employees!G66&gt;=Config!$I$5,Legacy_Employees!G66&lt;=Config!$I$6),"OK","Out of range")</f>
        <v>OK</v>
      </c>
      <c r="F66" s="23" t="str">
        <f aca="false">IF(AND(ISNUMBER(Legacy_Employees!F66),Legacy_Employees!F66&lt;=Config!$I$8),"OK","Check date")</f>
        <v>OK</v>
      </c>
      <c r="G66" s="23" t="str">
        <f aca="false">IF(COUNTIF(B66:F66,"OK")=5,"Pass","Fail")</f>
        <v>Fail</v>
      </c>
    </row>
  </sheetData>
  <conditionalFormatting sqref="B5:G66">
    <cfRule type="expression" priority="2" aboveAverage="0" equalAverage="0" bottom="0" percent="0" rank="0" text="" dxfId="0">
      <formula>B5="OK"</formula>
    </cfRule>
    <cfRule type="expression" priority="3" aboveAverage="0" equalAverage="0" bottom="0" percent="0" rank="0" text="" dxfId="0">
      <formula>B5="Pass"</formula>
    </cfRule>
    <cfRule type="expression" priority="4" aboveAverage="0" equalAverage="0" bottom="0" percent="0" rank="0" text="" dxfId="1">
      <formula>B5="Duplicate"</formula>
    </cfRule>
    <cfRule type="expression" priority="5" aboveAverage="0" equalAverage="0" bottom="0" percent="0" rank="0" text="" dxfId="1">
      <formula>B5="Missing/invalid"</formula>
    </cfRule>
    <cfRule type="expression" priority="6" aboveAverage="0" equalAverage="0" bottom="0" percent="0" rank="0" text="" dxfId="1">
      <formula>B5="Invalid code"</formula>
    </cfRule>
    <cfRule type="expression" priority="7" aboveAverage="0" equalAverage="0" bottom="0" percent="0" rank="0" text="" dxfId="1">
      <formula>B5="Out of range"</formula>
    </cfRule>
    <cfRule type="expression" priority="8" aboveAverage="0" equalAverage="0" bottom="0" percent="0" rank="0" text="" dxfId="1">
      <formula>B5="Check date"</formula>
    </cfRule>
    <cfRule type="expression" priority="9" aboveAverage="0" equalAverage="0" bottom="0" percent="0" rank="0" text="" dxfId="1">
      <formula>B5="Fail"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6" min="4" style="0" width="13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400</v>
      </c>
    </row>
    <row r="2" customFormat="false" ht="15" hidden="false" customHeight="false" outlineLevel="0" collapsed="false">
      <c r="A2" s="2" t="s">
        <v>401</v>
      </c>
    </row>
    <row r="4" customFormat="false" ht="15" hidden="false" customHeight="false" outlineLevel="0" collapsed="false">
      <c r="A4" s="7" t="s">
        <v>195</v>
      </c>
      <c r="B4" s="7" t="s">
        <v>402</v>
      </c>
      <c r="C4" s="7" t="s">
        <v>403</v>
      </c>
      <c r="D4" s="7" t="s">
        <v>404</v>
      </c>
      <c r="E4" s="7" t="s">
        <v>405</v>
      </c>
      <c r="F4" s="7" t="s">
        <v>406</v>
      </c>
      <c r="G4" s="7" t="s">
        <v>407</v>
      </c>
      <c r="H4" s="7" t="s">
        <v>399</v>
      </c>
    </row>
    <row r="5" customFormat="false" ht="15" hidden="false" customHeight="false" outlineLevel="0" collapsed="false">
      <c r="A5" s="9" t="str">
        <f aca="false">Legacy_Employees!A5</f>
        <v>E1001</v>
      </c>
      <c r="B5" s="9" t="str">
        <f aca="false">Legacy_Employees!C5</f>
        <v>VIC</v>
      </c>
      <c r="C5" s="23" t="str">
        <f aca="false">IF(ISNUMBER(MATCH($A5,WFM_Import!$A$5:$A$63,0)),"Yes","No")</f>
        <v>Yes</v>
      </c>
      <c r="D5" s="23" t="str">
        <f aca="false">IF($C5="No","n/a",IF(ROUND(INDEX(WFM_Import!$G$5:$G$63,MATCH($A5,WFM_Import!$A$5:$A$63,0))-Legacy_Employees!G5,2)=0,"OK","Mismatch"))</f>
        <v>OK</v>
      </c>
      <c r="E5" s="23" t="str">
        <f aca="false">IF($C5="No","n/a",IF(INDEX(WFM_Import!$E$5:$E$63,MATCH($A5,WFM_Import!$A$5:$A$63,0))=Legacy_Employees!E5,"OK","Mismatch"))</f>
        <v>OK</v>
      </c>
      <c r="F5" s="23" t="str">
        <f aca="false">IF($C5="No","n/a",IF(INDEX(WFM_Import!$C$5:$C$63,MATCH($A5,WFM_Import!$A$5:$A$63,0))=Legacy_Employees!C5,"OK","Mismatch"))</f>
        <v>OK</v>
      </c>
      <c r="G5" s="23" t="str">
        <f aca="false">IF($C5="No","n/a",IF(INDEX(WFM_Import!$F$5:$F$63,MATCH($A5,WFM_Import!$A$5:$A$63,0))=Legacy_Employees!F5,"OK","Mismatch"))</f>
        <v>OK</v>
      </c>
      <c r="H5" s="23" t="str">
        <f aca="false">IF($C5="No","Missing",IF(COUNTIF(D5:G5,"OK")=4,"Match","Mismatch"))</f>
        <v>Match</v>
      </c>
    </row>
    <row r="6" customFormat="false" ht="15" hidden="false" customHeight="false" outlineLevel="0" collapsed="false">
      <c r="A6" s="9" t="str">
        <f aca="false">Legacy_Employees!A6</f>
        <v>E1002</v>
      </c>
      <c r="B6" s="9" t="str">
        <f aca="false">Legacy_Employees!C6</f>
        <v>NSW</v>
      </c>
      <c r="C6" s="23" t="str">
        <f aca="false">IF(ISNUMBER(MATCH($A6,WFM_Import!$A$5:$A$63,0)),"Yes","No")</f>
        <v>Yes</v>
      </c>
      <c r="D6" s="23" t="str">
        <f aca="false">IF($C6="No","n/a",IF(ROUND(INDEX(WFM_Import!$G$5:$G$63,MATCH($A6,WFM_Import!$A$5:$A$63,0))-Legacy_Employees!G6,2)=0,"OK","Mismatch"))</f>
        <v>OK</v>
      </c>
      <c r="E6" s="23" t="str">
        <f aca="false">IF($C6="No","n/a",IF(INDEX(WFM_Import!$E$5:$E$63,MATCH($A6,WFM_Import!$A$5:$A$63,0))=Legacy_Employees!E6,"OK","Mismatch"))</f>
        <v>OK</v>
      </c>
      <c r="F6" s="23" t="str">
        <f aca="false">IF($C6="No","n/a",IF(INDEX(WFM_Import!$C$5:$C$63,MATCH($A6,WFM_Import!$A$5:$A$63,0))=Legacy_Employees!C6,"OK","Mismatch"))</f>
        <v>OK</v>
      </c>
      <c r="G6" s="23" t="str">
        <f aca="false">IF($C6="No","n/a",IF(INDEX(WFM_Import!$F$5:$F$63,MATCH($A6,WFM_Import!$A$5:$A$63,0))=Legacy_Employees!F6,"OK","Mismatch"))</f>
        <v>OK</v>
      </c>
      <c r="H6" s="23" t="str">
        <f aca="false">IF($C6="No","Missing",IF(COUNTIF(D6:G6,"OK")=4,"Match","Mismatch"))</f>
        <v>Match</v>
      </c>
    </row>
    <row r="7" customFormat="false" ht="15" hidden="false" customHeight="false" outlineLevel="0" collapsed="false">
      <c r="A7" s="9" t="str">
        <f aca="false">Legacy_Employees!A7</f>
        <v>E1003</v>
      </c>
      <c r="B7" s="9" t="str">
        <f aca="false">Legacy_Employees!C7</f>
        <v>VIC</v>
      </c>
      <c r="C7" s="23" t="str">
        <f aca="false">IF(ISNUMBER(MATCH($A7,WFM_Import!$A$5:$A$63,0)),"Yes","No")</f>
        <v>No</v>
      </c>
      <c r="D7" s="23" t="str">
        <f aca="false">IF($C7="No","n/a",IF(ROUND(INDEX(WFM_Import!$G$5:$G$63,MATCH($A7,WFM_Import!$A$5:$A$63,0))-Legacy_Employees!G7,2)=0,"OK","Mismatch"))</f>
        <v>n/a</v>
      </c>
      <c r="E7" s="23" t="str">
        <f aca="false">IF($C7="No","n/a",IF(INDEX(WFM_Import!$E$5:$E$63,MATCH($A7,WFM_Import!$A$5:$A$63,0))=Legacy_Employees!E7,"OK","Mismatch"))</f>
        <v>n/a</v>
      </c>
      <c r="F7" s="23" t="str">
        <f aca="false">IF($C7="No","n/a",IF(INDEX(WFM_Import!$C$5:$C$63,MATCH($A7,WFM_Import!$A$5:$A$63,0))=Legacy_Employees!C7,"OK","Mismatch"))</f>
        <v>n/a</v>
      </c>
      <c r="G7" s="23" t="str">
        <f aca="false">IF($C7="No","n/a",IF(INDEX(WFM_Import!$F$5:$F$63,MATCH($A7,WFM_Import!$A$5:$A$63,0))=Legacy_Employees!F7,"OK","Mismatch"))</f>
        <v>n/a</v>
      </c>
      <c r="H7" s="23" t="str">
        <f aca="false">IF($C7="No","Missing",IF(COUNTIF(D7:G7,"OK")=4,"Match","Mismatch"))</f>
        <v>Missing</v>
      </c>
    </row>
    <row r="8" customFormat="false" ht="15" hidden="false" customHeight="false" outlineLevel="0" collapsed="false">
      <c r="A8" s="9" t="str">
        <f aca="false">Legacy_Employees!A8</f>
        <v>E1004</v>
      </c>
      <c r="B8" s="9" t="str">
        <f aca="false">Legacy_Employees!C8</f>
        <v>VIC</v>
      </c>
      <c r="C8" s="23" t="str">
        <f aca="false">IF(ISNUMBER(MATCH($A8,WFM_Import!$A$5:$A$63,0)),"Yes","No")</f>
        <v>Yes</v>
      </c>
      <c r="D8" s="23" t="str">
        <f aca="false">IF($C8="No","n/a",IF(ROUND(INDEX(WFM_Import!$G$5:$G$63,MATCH($A8,WFM_Import!$A$5:$A$63,0))-Legacy_Employees!G8,2)=0,"OK","Mismatch"))</f>
        <v>OK</v>
      </c>
      <c r="E8" s="23" t="str">
        <f aca="false">IF($C8="No","n/a",IF(INDEX(WFM_Import!$E$5:$E$63,MATCH($A8,WFM_Import!$A$5:$A$63,0))=Legacy_Employees!E8,"OK","Mismatch"))</f>
        <v>OK</v>
      </c>
      <c r="F8" s="23" t="str">
        <f aca="false">IF($C8="No","n/a",IF(INDEX(WFM_Import!$C$5:$C$63,MATCH($A8,WFM_Import!$A$5:$A$63,0))=Legacy_Employees!C8,"OK","Mismatch"))</f>
        <v>OK</v>
      </c>
      <c r="G8" s="23" t="str">
        <f aca="false">IF($C8="No","n/a",IF(INDEX(WFM_Import!$F$5:$F$63,MATCH($A8,WFM_Import!$A$5:$A$63,0))=Legacy_Employees!F8,"OK","Mismatch"))</f>
        <v>OK</v>
      </c>
      <c r="H8" s="23" t="str">
        <f aca="false">IF($C8="No","Missing",IF(COUNTIF(D8:G8,"OK")=4,"Match","Mismatch"))</f>
        <v>Match</v>
      </c>
    </row>
    <row r="9" customFormat="false" ht="15" hidden="false" customHeight="false" outlineLevel="0" collapsed="false">
      <c r="A9" s="9" t="str">
        <f aca="false">Legacy_Employees!A9</f>
        <v>E1005</v>
      </c>
      <c r="B9" s="9" t="str">
        <f aca="false">Legacy_Employees!C9</f>
        <v>NSW</v>
      </c>
      <c r="C9" s="23" t="str">
        <f aca="false">IF(ISNUMBER(MATCH($A9,WFM_Import!$A$5:$A$63,0)),"Yes","No")</f>
        <v>Yes</v>
      </c>
      <c r="D9" s="23" t="str">
        <f aca="false">IF($C9="No","n/a",IF(ROUND(INDEX(WFM_Import!$G$5:$G$63,MATCH($A9,WFM_Import!$A$5:$A$63,0))-Legacy_Employees!G9,2)=0,"OK","Mismatch"))</f>
        <v>OK</v>
      </c>
      <c r="E9" s="23" t="str">
        <f aca="false">IF($C9="No","n/a",IF(INDEX(WFM_Import!$E$5:$E$63,MATCH($A9,WFM_Import!$A$5:$A$63,0))=Legacy_Employees!E9,"OK","Mismatch"))</f>
        <v>OK</v>
      </c>
      <c r="F9" s="23" t="str">
        <f aca="false">IF($C9="No","n/a",IF(INDEX(WFM_Import!$C$5:$C$63,MATCH($A9,WFM_Import!$A$5:$A$63,0))=Legacy_Employees!C9,"OK","Mismatch"))</f>
        <v>OK</v>
      </c>
      <c r="G9" s="23" t="str">
        <f aca="false">IF($C9="No","n/a",IF(INDEX(WFM_Import!$F$5:$F$63,MATCH($A9,WFM_Import!$A$5:$A$63,0))=Legacy_Employees!F9,"OK","Mismatch"))</f>
        <v>OK</v>
      </c>
      <c r="H9" s="23" t="str">
        <f aca="false">IF($C9="No","Missing",IF(COUNTIF(D9:G9,"OK")=4,"Match","Mismatch"))</f>
        <v>Match</v>
      </c>
    </row>
    <row r="10" customFormat="false" ht="15" hidden="false" customHeight="false" outlineLevel="0" collapsed="false">
      <c r="A10" s="9" t="str">
        <f aca="false">Legacy_Employees!A10</f>
        <v>E1006</v>
      </c>
      <c r="B10" s="9" t="str">
        <f aca="false">Legacy_Employees!C10</f>
        <v>NSW</v>
      </c>
      <c r="C10" s="23" t="str">
        <f aca="false">IF(ISNUMBER(MATCH($A10,WFM_Import!$A$5:$A$63,0)),"Yes","No")</f>
        <v>Yes</v>
      </c>
      <c r="D10" s="23" t="str">
        <f aca="false">IF($C10="No","n/a",IF(ROUND(INDEX(WFM_Import!$G$5:$G$63,MATCH($A10,WFM_Import!$A$5:$A$63,0))-Legacy_Employees!G10,2)=0,"OK","Mismatch"))</f>
        <v>Mismatch</v>
      </c>
      <c r="E10" s="23" t="str">
        <f aca="false">IF($C10="No","n/a",IF(INDEX(WFM_Import!$E$5:$E$63,MATCH($A10,WFM_Import!$A$5:$A$63,0))=Legacy_Employees!E10,"OK","Mismatch"))</f>
        <v>OK</v>
      </c>
      <c r="F10" s="23" t="str">
        <f aca="false">IF($C10="No","n/a",IF(INDEX(WFM_Import!$C$5:$C$63,MATCH($A10,WFM_Import!$A$5:$A$63,0))=Legacy_Employees!C10,"OK","Mismatch"))</f>
        <v>OK</v>
      </c>
      <c r="G10" s="23" t="str">
        <f aca="false">IF($C10="No","n/a",IF(INDEX(WFM_Import!$F$5:$F$63,MATCH($A10,WFM_Import!$A$5:$A$63,0))=Legacy_Employees!F10,"OK","Mismatch"))</f>
        <v>OK</v>
      </c>
      <c r="H10" s="23" t="str">
        <f aca="false">IF($C10="No","Missing",IF(COUNTIF(D10:G10,"OK")=4,"Match","Mismatch"))</f>
        <v>Mismatch</v>
      </c>
    </row>
    <row r="11" customFormat="false" ht="15" hidden="false" customHeight="false" outlineLevel="0" collapsed="false">
      <c r="A11" s="9" t="str">
        <f aca="false">Legacy_Employees!A11</f>
        <v>E1007</v>
      </c>
      <c r="B11" s="9" t="str">
        <f aca="false">Legacy_Employees!C11</f>
        <v>VIC</v>
      </c>
      <c r="C11" s="23" t="str">
        <f aca="false">IF(ISNUMBER(MATCH($A11,WFM_Import!$A$5:$A$63,0)),"Yes","No")</f>
        <v>Yes</v>
      </c>
      <c r="D11" s="23" t="str">
        <f aca="false">IF($C11="No","n/a",IF(ROUND(INDEX(WFM_Import!$G$5:$G$63,MATCH($A11,WFM_Import!$A$5:$A$63,0))-Legacy_Employees!G11,2)=0,"OK","Mismatch"))</f>
        <v>OK</v>
      </c>
      <c r="E11" s="23" t="str">
        <f aca="false">IF($C11="No","n/a",IF(INDEX(WFM_Import!$E$5:$E$63,MATCH($A11,WFM_Import!$A$5:$A$63,0))=Legacy_Employees!E11,"OK","Mismatch"))</f>
        <v>OK</v>
      </c>
      <c r="F11" s="23" t="str">
        <f aca="false">IF($C11="No","n/a",IF(INDEX(WFM_Import!$C$5:$C$63,MATCH($A11,WFM_Import!$A$5:$A$63,0))=Legacy_Employees!C11,"OK","Mismatch"))</f>
        <v>OK</v>
      </c>
      <c r="G11" s="23" t="str">
        <f aca="false">IF($C11="No","n/a",IF(INDEX(WFM_Import!$F$5:$F$63,MATCH($A11,WFM_Import!$A$5:$A$63,0))=Legacy_Employees!F11,"OK","Mismatch"))</f>
        <v>OK</v>
      </c>
      <c r="H11" s="23" t="str">
        <f aca="false">IF($C11="No","Missing",IF(COUNTIF(D11:G11,"OK")=4,"Match","Mismatch"))</f>
        <v>Match</v>
      </c>
    </row>
    <row r="12" customFormat="false" ht="15" hidden="false" customHeight="false" outlineLevel="0" collapsed="false">
      <c r="A12" s="9" t="str">
        <f aca="false">Legacy_Employees!A12</f>
        <v>E1008</v>
      </c>
      <c r="B12" s="9" t="str">
        <f aca="false">Legacy_Employees!C12</f>
        <v>VIC</v>
      </c>
      <c r="C12" s="23" t="str">
        <f aca="false">IF(ISNUMBER(MATCH($A12,WFM_Import!$A$5:$A$63,0)),"Yes","No")</f>
        <v>Yes</v>
      </c>
      <c r="D12" s="23" t="str">
        <f aca="false">IF($C12="No","n/a",IF(ROUND(INDEX(WFM_Import!$G$5:$G$63,MATCH($A12,WFM_Import!$A$5:$A$63,0))-Legacy_Employees!G12,2)=0,"OK","Mismatch"))</f>
        <v>OK</v>
      </c>
      <c r="E12" s="23" t="str">
        <f aca="false">IF($C12="No","n/a",IF(INDEX(WFM_Import!$E$5:$E$63,MATCH($A12,WFM_Import!$A$5:$A$63,0))=Legacy_Employees!E12,"OK","Mismatch"))</f>
        <v>OK</v>
      </c>
      <c r="F12" s="23" t="str">
        <f aca="false">IF($C12="No","n/a",IF(INDEX(WFM_Import!$C$5:$C$63,MATCH($A12,WFM_Import!$A$5:$A$63,0))=Legacy_Employees!C12,"OK","Mismatch"))</f>
        <v>OK</v>
      </c>
      <c r="G12" s="23" t="str">
        <f aca="false">IF($C12="No","n/a",IF(INDEX(WFM_Import!$F$5:$F$63,MATCH($A12,WFM_Import!$A$5:$A$63,0))=Legacy_Employees!F12,"OK","Mismatch"))</f>
        <v>OK</v>
      </c>
      <c r="H12" s="23" t="str">
        <f aca="false">IF($C12="No","Missing",IF(COUNTIF(D12:G12,"OK")=4,"Match","Mismatch"))</f>
        <v>Match</v>
      </c>
    </row>
    <row r="13" customFormat="false" ht="15" hidden="false" customHeight="false" outlineLevel="0" collapsed="false">
      <c r="A13" s="9" t="str">
        <f aca="false">Legacy_Employees!A13</f>
        <v>E1009</v>
      </c>
      <c r="B13" s="9" t="str">
        <f aca="false">Legacy_Employees!C13</f>
        <v>VIC</v>
      </c>
      <c r="C13" s="23" t="str">
        <f aca="false">IF(ISNUMBER(MATCH($A13,WFM_Import!$A$5:$A$63,0)),"Yes","No")</f>
        <v>Yes</v>
      </c>
      <c r="D13" s="23" t="str">
        <f aca="false">IF($C13="No","n/a",IF(ROUND(INDEX(WFM_Import!$G$5:$G$63,MATCH($A13,WFM_Import!$A$5:$A$63,0))-Legacy_Employees!G13,2)=0,"OK","Mismatch"))</f>
        <v>OK</v>
      </c>
      <c r="E13" s="23" t="str">
        <f aca="false">IF($C13="No","n/a",IF(INDEX(WFM_Import!$E$5:$E$63,MATCH($A13,WFM_Import!$A$5:$A$63,0))=Legacy_Employees!E13,"OK","Mismatch"))</f>
        <v>Mismatch</v>
      </c>
      <c r="F13" s="23" t="str">
        <f aca="false">IF($C13="No","n/a",IF(INDEX(WFM_Import!$C$5:$C$63,MATCH($A13,WFM_Import!$A$5:$A$63,0))=Legacy_Employees!C13,"OK","Mismatch"))</f>
        <v>OK</v>
      </c>
      <c r="G13" s="23" t="str">
        <f aca="false">IF($C13="No","n/a",IF(INDEX(WFM_Import!$F$5:$F$63,MATCH($A13,WFM_Import!$A$5:$A$63,0))=Legacy_Employees!F13,"OK","Mismatch"))</f>
        <v>OK</v>
      </c>
      <c r="H13" s="23" t="str">
        <f aca="false">IF($C13="No","Missing",IF(COUNTIF(D13:G13,"OK")=4,"Match","Mismatch"))</f>
        <v>Mismatch</v>
      </c>
    </row>
    <row r="14" customFormat="false" ht="15" hidden="false" customHeight="false" outlineLevel="0" collapsed="false">
      <c r="A14" s="9" t="str">
        <f aca="false">Legacy_Employees!A14</f>
        <v>E1010</v>
      </c>
      <c r="B14" s="9" t="str">
        <f aca="false">Legacy_Employees!C14</f>
        <v>QLD</v>
      </c>
      <c r="C14" s="23" t="str">
        <f aca="false">IF(ISNUMBER(MATCH($A14,WFM_Import!$A$5:$A$63,0)),"Yes","No")</f>
        <v>Yes</v>
      </c>
      <c r="D14" s="23" t="str">
        <f aca="false">IF($C14="No","n/a",IF(ROUND(INDEX(WFM_Import!$G$5:$G$63,MATCH($A14,WFM_Import!$A$5:$A$63,0))-Legacy_Employees!G14,2)=0,"OK","Mismatch"))</f>
        <v>OK</v>
      </c>
      <c r="E14" s="23" t="str">
        <f aca="false">IF($C14="No","n/a",IF(INDEX(WFM_Import!$E$5:$E$63,MATCH($A14,WFM_Import!$A$5:$A$63,0))=Legacy_Employees!E14,"OK","Mismatch"))</f>
        <v>OK</v>
      </c>
      <c r="F14" s="23" t="str">
        <f aca="false">IF($C14="No","n/a",IF(INDEX(WFM_Import!$C$5:$C$63,MATCH($A14,WFM_Import!$A$5:$A$63,0))=Legacy_Employees!C14,"OK","Mismatch"))</f>
        <v>OK</v>
      </c>
      <c r="G14" s="23" t="str">
        <f aca="false">IF($C14="No","n/a",IF(INDEX(WFM_Import!$F$5:$F$63,MATCH($A14,WFM_Import!$A$5:$A$63,0))=Legacy_Employees!F14,"OK","Mismatch"))</f>
        <v>OK</v>
      </c>
      <c r="H14" s="23" t="str">
        <f aca="false">IF($C14="No","Missing",IF(COUNTIF(D14:G14,"OK")=4,"Match","Mismatch"))</f>
        <v>Match</v>
      </c>
    </row>
    <row r="15" customFormat="false" ht="15" hidden="false" customHeight="false" outlineLevel="0" collapsed="false">
      <c r="A15" s="9" t="str">
        <f aca="false">Legacy_Employees!A15</f>
        <v>E1011</v>
      </c>
      <c r="B15" s="9" t="str">
        <f aca="false">Legacy_Employees!C15</f>
        <v>NSW</v>
      </c>
      <c r="C15" s="23" t="str">
        <f aca="false">IF(ISNUMBER(MATCH($A15,WFM_Import!$A$5:$A$63,0)),"Yes","No")</f>
        <v>Yes</v>
      </c>
      <c r="D15" s="23" t="str">
        <f aca="false">IF($C15="No","n/a",IF(ROUND(INDEX(WFM_Import!$G$5:$G$63,MATCH($A15,WFM_Import!$A$5:$A$63,0))-Legacy_Employees!G15,2)=0,"OK","Mismatch"))</f>
        <v>OK</v>
      </c>
      <c r="E15" s="23" t="str">
        <f aca="false">IF($C15="No","n/a",IF(INDEX(WFM_Import!$E$5:$E$63,MATCH($A15,WFM_Import!$A$5:$A$63,0))=Legacy_Employees!E15,"OK","Mismatch"))</f>
        <v>OK</v>
      </c>
      <c r="F15" s="23" t="str">
        <f aca="false">IF($C15="No","n/a",IF(INDEX(WFM_Import!$C$5:$C$63,MATCH($A15,WFM_Import!$A$5:$A$63,0))=Legacy_Employees!C15,"OK","Mismatch"))</f>
        <v>OK</v>
      </c>
      <c r="G15" s="23" t="str">
        <f aca="false">IF($C15="No","n/a",IF(INDEX(WFM_Import!$F$5:$F$63,MATCH($A15,WFM_Import!$A$5:$A$63,0))=Legacy_Employees!F15,"OK","Mismatch"))</f>
        <v>OK</v>
      </c>
      <c r="H15" s="23" t="str">
        <f aca="false">IF($C15="No","Missing",IF(COUNTIF(D15:G15,"OK")=4,"Match","Mismatch"))</f>
        <v>Match</v>
      </c>
    </row>
    <row r="16" customFormat="false" ht="15" hidden="false" customHeight="false" outlineLevel="0" collapsed="false">
      <c r="A16" s="9" t="str">
        <f aca="false">Legacy_Employees!A16</f>
        <v>E1012</v>
      </c>
      <c r="B16" s="9" t="str">
        <f aca="false">Legacy_Employees!C16</f>
        <v>NZ</v>
      </c>
      <c r="C16" s="23" t="str">
        <f aca="false">IF(ISNUMBER(MATCH($A16,WFM_Import!$A$5:$A$63,0)),"Yes","No")</f>
        <v>Yes</v>
      </c>
      <c r="D16" s="23" t="str">
        <f aca="false">IF($C16="No","n/a",IF(ROUND(INDEX(WFM_Import!$G$5:$G$63,MATCH($A16,WFM_Import!$A$5:$A$63,0))-Legacy_Employees!G16,2)=0,"OK","Mismatch"))</f>
        <v>Mismatch</v>
      </c>
      <c r="E16" s="23" t="str">
        <f aca="false">IF($C16="No","n/a",IF(INDEX(WFM_Import!$E$5:$E$63,MATCH($A16,WFM_Import!$A$5:$A$63,0))=Legacy_Employees!E16,"OK","Mismatch"))</f>
        <v>OK</v>
      </c>
      <c r="F16" s="23" t="str">
        <f aca="false">IF($C16="No","n/a",IF(INDEX(WFM_Import!$C$5:$C$63,MATCH($A16,WFM_Import!$A$5:$A$63,0))=Legacy_Employees!C16,"OK","Mismatch"))</f>
        <v>OK</v>
      </c>
      <c r="G16" s="23" t="str">
        <f aca="false">IF($C16="No","n/a",IF(INDEX(WFM_Import!$F$5:$F$63,MATCH($A16,WFM_Import!$A$5:$A$63,0))=Legacy_Employees!F16,"OK","Mismatch"))</f>
        <v>OK</v>
      </c>
      <c r="H16" s="23" t="str">
        <f aca="false">IF($C16="No","Missing",IF(COUNTIF(D16:G16,"OK")=4,"Match","Mismatch"))</f>
        <v>Mismatch</v>
      </c>
    </row>
    <row r="17" customFormat="false" ht="15" hidden="false" customHeight="false" outlineLevel="0" collapsed="false">
      <c r="A17" s="9" t="str">
        <f aca="false">Legacy_Employees!A17</f>
        <v>E1013</v>
      </c>
      <c r="B17" s="9" t="str">
        <f aca="false">Legacy_Employees!C17</f>
        <v>NZ</v>
      </c>
      <c r="C17" s="23" t="str">
        <f aca="false">IF(ISNUMBER(MATCH($A17,WFM_Import!$A$5:$A$63,0)),"Yes","No")</f>
        <v>Yes</v>
      </c>
      <c r="D17" s="23" t="str">
        <f aca="false">IF($C17="No","n/a",IF(ROUND(INDEX(WFM_Import!$G$5:$G$63,MATCH($A17,WFM_Import!$A$5:$A$63,0))-Legacy_Employees!G17,2)=0,"OK","Mismatch"))</f>
        <v>OK</v>
      </c>
      <c r="E17" s="23" t="str">
        <f aca="false">IF($C17="No","n/a",IF(INDEX(WFM_Import!$E$5:$E$63,MATCH($A17,WFM_Import!$A$5:$A$63,0))=Legacy_Employees!E17,"OK","Mismatch"))</f>
        <v>OK</v>
      </c>
      <c r="F17" s="23" t="str">
        <f aca="false">IF($C17="No","n/a",IF(INDEX(WFM_Import!$C$5:$C$63,MATCH($A17,WFM_Import!$A$5:$A$63,0))=Legacy_Employees!C17,"OK","Mismatch"))</f>
        <v>OK</v>
      </c>
      <c r="G17" s="23" t="str">
        <f aca="false">IF($C17="No","n/a",IF(INDEX(WFM_Import!$F$5:$F$63,MATCH($A17,WFM_Import!$A$5:$A$63,0))=Legacy_Employees!F17,"OK","Mismatch"))</f>
        <v>OK</v>
      </c>
      <c r="H17" s="23" t="str">
        <f aca="false">IF($C17="No","Missing",IF(COUNTIF(D17:G17,"OK")=4,"Match","Mismatch"))</f>
        <v>Match</v>
      </c>
    </row>
    <row r="18" customFormat="false" ht="15" hidden="false" customHeight="false" outlineLevel="0" collapsed="false">
      <c r="A18" s="9" t="str">
        <f aca="false">Legacy_Employees!A18</f>
        <v>E1014</v>
      </c>
      <c r="B18" s="9" t="str">
        <f aca="false">Legacy_Employees!C18</f>
        <v>VIC</v>
      </c>
      <c r="C18" s="23" t="str">
        <f aca="false">IF(ISNUMBER(MATCH($A18,WFM_Import!$A$5:$A$63,0)),"Yes","No")</f>
        <v>Yes</v>
      </c>
      <c r="D18" s="23" t="str">
        <f aca="false">IF($C18="No","n/a",IF(ROUND(INDEX(WFM_Import!$G$5:$G$63,MATCH($A18,WFM_Import!$A$5:$A$63,0))-Legacy_Employees!G18,2)=0,"OK","Mismatch"))</f>
        <v>OK</v>
      </c>
      <c r="E18" s="23" t="str">
        <f aca="false">IF($C18="No","n/a",IF(INDEX(WFM_Import!$E$5:$E$63,MATCH($A18,WFM_Import!$A$5:$A$63,0))=Legacy_Employees!E18,"OK","Mismatch"))</f>
        <v>OK</v>
      </c>
      <c r="F18" s="23" t="str">
        <f aca="false">IF($C18="No","n/a",IF(INDEX(WFM_Import!$C$5:$C$63,MATCH($A18,WFM_Import!$A$5:$A$63,0))=Legacy_Employees!C18,"OK","Mismatch"))</f>
        <v>OK</v>
      </c>
      <c r="G18" s="23" t="str">
        <f aca="false">IF($C18="No","n/a",IF(INDEX(WFM_Import!$F$5:$F$63,MATCH($A18,WFM_Import!$A$5:$A$63,0))=Legacy_Employees!F18,"OK","Mismatch"))</f>
        <v>OK</v>
      </c>
      <c r="H18" s="23" t="str">
        <f aca="false">IF($C18="No","Missing",IF(COUNTIF(D18:G18,"OK")=4,"Match","Mismatch"))</f>
        <v>Match</v>
      </c>
    </row>
    <row r="19" customFormat="false" ht="15" hidden="false" customHeight="false" outlineLevel="0" collapsed="false">
      <c r="A19" s="9" t="str">
        <f aca="false">Legacy_Employees!A19</f>
        <v>E1015</v>
      </c>
      <c r="B19" s="9" t="str">
        <f aca="false">Legacy_Employees!C19</f>
        <v>QLD</v>
      </c>
      <c r="C19" s="23" t="str">
        <f aca="false">IF(ISNUMBER(MATCH($A19,WFM_Import!$A$5:$A$63,0)),"Yes","No")</f>
        <v>Yes</v>
      </c>
      <c r="D19" s="23" t="str">
        <f aca="false">IF($C19="No","n/a",IF(ROUND(INDEX(WFM_Import!$G$5:$G$63,MATCH($A19,WFM_Import!$A$5:$A$63,0))-Legacy_Employees!G19,2)=0,"OK","Mismatch"))</f>
        <v>OK</v>
      </c>
      <c r="E19" s="23" t="str">
        <f aca="false">IF($C19="No","n/a",IF(INDEX(WFM_Import!$E$5:$E$63,MATCH($A19,WFM_Import!$A$5:$A$63,0))=Legacy_Employees!E19,"OK","Mismatch"))</f>
        <v>OK</v>
      </c>
      <c r="F19" s="23" t="str">
        <f aca="false">IF($C19="No","n/a",IF(INDEX(WFM_Import!$C$5:$C$63,MATCH($A19,WFM_Import!$A$5:$A$63,0))=Legacy_Employees!C19,"OK","Mismatch"))</f>
        <v>OK</v>
      </c>
      <c r="G19" s="23" t="str">
        <f aca="false">IF($C19="No","n/a",IF(INDEX(WFM_Import!$F$5:$F$63,MATCH($A19,WFM_Import!$A$5:$A$63,0))=Legacy_Employees!F19,"OK","Mismatch"))</f>
        <v>OK</v>
      </c>
      <c r="H19" s="23" t="str">
        <f aca="false">IF($C19="No","Missing",IF(COUNTIF(D19:G19,"OK")=4,"Match","Mismatch"))</f>
        <v>Match</v>
      </c>
    </row>
    <row r="20" customFormat="false" ht="15" hidden="false" customHeight="false" outlineLevel="0" collapsed="false">
      <c r="A20" s="9" t="str">
        <f aca="false">Legacy_Employees!A20</f>
        <v>E1016</v>
      </c>
      <c r="B20" s="9" t="str">
        <f aca="false">Legacy_Employees!C20</f>
        <v>NSW</v>
      </c>
      <c r="C20" s="23" t="str">
        <f aca="false">IF(ISNUMBER(MATCH($A20,WFM_Import!$A$5:$A$63,0)),"Yes","No")</f>
        <v>No</v>
      </c>
      <c r="D20" s="23" t="str">
        <f aca="false">IF($C20="No","n/a",IF(ROUND(INDEX(WFM_Import!$G$5:$G$63,MATCH($A20,WFM_Import!$A$5:$A$63,0))-Legacy_Employees!G20,2)=0,"OK","Mismatch"))</f>
        <v>n/a</v>
      </c>
      <c r="E20" s="23" t="str">
        <f aca="false">IF($C20="No","n/a",IF(INDEX(WFM_Import!$E$5:$E$63,MATCH($A20,WFM_Import!$A$5:$A$63,0))=Legacy_Employees!E20,"OK","Mismatch"))</f>
        <v>n/a</v>
      </c>
      <c r="F20" s="23" t="str">
        <f aca="false">IF($C20="No","n/a",IF(INDEX(WFM_Import!$C$5:$C$63,MATCH($A20,WFM_Import!$A$5:$A$63,0))=Legacy_Employees!C20,"OK","Mismatch"))</f>
        <v>n/a</v>
      </c>
      <c r="G20" s="23" t="str">
        <f aca="false">IF($C20="No","n/a",IF(INDEX(WFM_Import!$F$5:$F$63,MATCH($A20,WFM_Import!$A$5:$A$63,0))=Legacy_Employees!F20,"OK","Mismatch"))</f>
        <v>n/a</v>
      </c>
      <c r="H20" s="23" t="str">
        <f aca="false">IF($C20="No","Missing",IF(COUNTIF(D20:G20,"OK")=4,"Match","Mismatch"))</f>
        <v>Missing</v>
      </c>
    </row>
    <row r="21" customFormat="false" ht="15" hidden="false" customHeight="false" outlineLevel="0" collapsed="false">
      <c r="A21" s="9" t="str">
        <f aca="false">Legacy_Employees!A21</f>
        <v>E1017</v>
      </c>
      <c r="B21" s="9" t="str">
        <f aca="false">Legacy_Employees!C21</f>
        <v>QLD</v>
      </c>
      <c r="C21" s="23" t="str">
        <f aca="false">IF(ISNUMBER(MATCH($A21,WFM_Import!$A$5:$A$63,0)),"Yes","No")</f>
        <v>Yes</v>
      </c>
      <c r="D21" s="23" t="str">
        <f aca="false">IF($C21="No","n/a",IF(ROUND(INDEX(WFM_Import!$G$5:$G$63,MATCH($A21,WFM_Import!$A$5:$A$63,0))-Legacy_Employees!G21,2)=0,"OK","Mismatch"))</f>
        <v>OK</v>
      </c>
      <c r="E21" s="23" t="str">
        <f aca="false">IF($C21="No","n/a",IF(INDEX(WFM_Import!$E$5:$E$63,MATCH($A21,WFM_Import!$A$5:$A$63,0))=Legacy_Employees!E21,"OK","Mismatch"))</f>
        <v>OK</v>
      </c>
      <c r="F21" s="23" t="str">
        <f aca="false">IF($C21="No","n/a",IF(INDEX(WFM_Import!$C$5:$C$63,MATCH($A21,WFM_Import!$A$5:$A$63,0))=Legacy_Employees!C21,"OK","Mismatch"))</f>
        <v>OK</v>
      </c>
      <c r="G21" s="23" t="str">
        <f aca="false">IF($C21="No","n/a",IF(INDEX(WFM_Import!$F$5:$F$63,MATCH($A21,WFM_Import!$A$5:$A$63,0))=Legacy_Employees!F21,"OK","Mismatch"))</f>
        <v>OK</v>
      </c>
      <c r="H21" s="23" t="str">
        <f aca="false">IF($C21="No","Missing",IF(COUNTIF(D21:G21,"OK")=4,"Match","Mismatch"))</f>
        <v>Match</v>
      </c>
    </row>
    <row r="22" customFormat="false" ht="15" hidden="false" customHeight="false" outlineLevel="0" collapsed="false">
      <c r="A22" s="9" t="str">
        <f aca="false">Legacy_Employees!A22</f>
        <v>E1018</v>
      </c>
      <c r="B22" s="9" t="str">
        <f aca="false">Legacy_Employees!C22</f>
        <v>NSW</v>
      </c>
      <c r="C22" s="23" t="str">
        <f aca="false">IF(ISNUMBER(MATCH($A22,WFM_Import!$A$5:$A$63,0)),"Yes","No")</f>
        <v>Yes</v>
      </c>
      <c r="D22" s="23" t="str">
        <f aca="false">IF($C22="No","n/a",IF(ROUND(INDEX(WFM_Import!$G$5:$G$63,MATCH($A22,WFM_Import!$A$5:$A$63,0))-Legacy_Employees!G22,2)=0,"OK","Mismatch"))</f>
        <v>OK</v>
      </c>
      <c r="E22" s="23" t="str">
        <f aca="false">IF($C22="No","n/a",IF(INDEX(WFM_Import!$E$5:$E$63,MATCH($A22,WFM_Import!$A$5:$A$63,0))=Legacy_Employees!E22,"OK","Mismatch"))</f>
        <v>OK</v>
      </c>
      <c r="F22" s="23" t="str">
        <f aca="false">IF($C22="No","n/a",IF(INDEX(WFM_Import!$C$5:$C$63,MATCH($A22,WFM_Import!$A$5:$A$63,0))=Legacy_Employees!C22,"OK","Mismatch"))</f>
        <v>OK</v>
      </c>
      <c r="G22" s="23" t="str">
        <f aca="false">IF($C22="No","n/a",IF(INDEX(WFM_Import!$F$5:$F$63,MATCH($A22,WFM_Import!$A$5:$A$63,0))=Legacy_Employees!F22,"OK","Mismatch"))</f>
        <v>OK</v>
      </c>
      <c r="H22" s="23" t="str">
        <f aca="false">IF($C22="No","Missing",IF(COUNTIF(D22:G22,"OK")=4,"Match","Mismatch"))</f>
        <v>Match</v>
      </c>
    </row>
    <row r="23" customFormat="false" ht="15" hidden="false" customHeight="false" outlineLevel="0" collapsed="false">
      <c r="A23" s="9" t="str">
        <f aca="false">Legacy_Employees!A23</f>
        <v>E1019</v>
      </c>
      <c r="B23" s="9" t="str">
        <f aca="false">Legacy_Employees!C23</f>
        <v>QLD</v>
      </c>
      <c r="C23" s="23" t="str">
        <f aca="false">IF(ISNUMBER(MATCH($A23,WFM_Import!$A$5:$A$63,0)),"Yes","No")</f>
        <v>Yes</v>
      </c>
      <c r="D23" s="23" t="str">
        <f aca="false">IF($C23="No","n/a",IF(ROUND(INDEX(WFM_Import!$G$5:$G$63,MATCH($A23,WFM_Import!$A$5:$A$63,0))-Legacy_Employees!G23,2)=0,"OK","Mismatch"))</f>
        <v>OK</v>
      </c>
      <c r="E23" s="23" t="str">
        <f aca="false">IF($C23="No","n/a",IF(INDEX(WFM_Import!$E$5:$E$63,MATCH($A23,WFM_Import!$A$5:$A$63,0))=Legacy_Employees!E23,"OK","Mismatch"))</f>
        <v>OK</v>
      </c>
      <c r="F23" s="23" t="str">
        <f aca="false">IF($C23="No","n/a",IF(INDEX(WFM_Import!$C$5:$C$63,MATCH($A23,WFM_Import!$A$5:$A$63,0))=Legacy_Employees!C23,"OK","Mismatch"))</f>
        <v>OK</v>
      </c>
      <c r="G23" s="23" t="str">
        <f aca="false">IF($C23="No","n/a",IF(INDEX(WFM_Import!$F$5:$F$63,MATCH($A23,WFM_Import!$A$5:$A$63,0))=Legacy_Employees!F23,"OK","Mismatch"))</f>
        <v>OK</v>
      </c>
      <c r="H23" s="23" t="str">
        <f aca="false">IF($C23="No","Missing",IF(COUNTIF(D23:G23,"OK")=4,"Match","Mismatch"))</f>
        <v>Match</v>
      </c>
    </row>
    <row r="24" customFormat="false" ht="15" hidden="false" customHeight="false" outlineLevel="0" collapsed="false">
      <c r="A24" s="9" t="str">
        <f aca="false">Legacy_Employees!A24</f>
        <v>E1020</v>
      </c>
      <c r="B24" s="9" t="str">
        <f aca="false">Legacy_Employees!C24</f>
        <v>NZ</v>
      </c>
      <c r="C24" s="23" t="str">
        <f aca="false">IF(ISNUMBER(MATCH($A24,WFM_Import!$A$5:$A$63,0)),"Yes","No")</f>
        <v>Yes</v>
      </c>
      <c r="D24" s="23" t="str">
        <f aca="false">IF($C24="No","n/a",IF(ROUND(INDEX(WFM_Import!$G$5:$G$63,MATCH($A24,WFM_Import!$A$5:$A$63,0))-Legacy_Employees!G24,2)=0,"OK","Mismatch"))</f>
        <v>OK</v>
      </c>
      <c r="E24" s="23" t="str">
        <f aca="false">IF($C24="No","n/a",IF(INDEX(WFM_Import!$E$5:$E$63,MATCH($A24,WFM_Import!$A$5:$A$63,0))=Legacy_Employees!E24,"OK","Mismatch"))</f>
        <v>Mismatch</v>
      </c>
      <c r="F24" s="23" t="str">
        <f aca="false">IF($C24="No","n/a",IF(INDEX(WFM_Import!$C$5:$C$63,MATCH($A24,WFM_Import!$A$5:$A$63,0))=Legacy_Employees!C24,"OK","Mismatch"))</f>
        <v>OK</v>
      </c>
      <c r="G24" s="23" t="str">
        <f aca="false">IF($C24="No","n/a",IF(INDEX(WFM_Import!$F$5:$F$63,MATCH($A24,WFM_Import!$A$5:$A$63,0))=Legacy_Employees!F24,"OK","Mismatch"))</f>
        <v>OK</v>
      </c>
      <c r="H24" s="23" t="str">
        <f aca="false">IF($C24="No","Missing",IF(COUNTIF(D24:G24,"OK")=4,"Match","Mismatch"))</f>
        <v>Mismatch</v>
      </c>
    </row>
    <row r="25" customFormat="false" ht="15" hidden="false" customHeight="false" outlineLevel="0" collapsed="false">
      <c r="A25" s="9" t="str">
        <f aca="false">Legacy_Employees!A25</f>
        <v>E1021</v>
      </c>
      <c r="B25" s="9" t="str">
        <f aca="false">Legacy_Employees!C25</f>
        <v>NZ</v>
      </c>
      <c r="C25" s="23" t="str">
        <f aca="false">IF(ISNUMBER(MATCH($A25,WFM_Import!$A$5:$A$63,0)),"Yes","No")</f>
        <v>Yes</v>
      </c>
      <c r="D25" s="23" t="str">
        <f aca="false">IF($C25="No","n/a",IF(ROUND(INDEX(WFM_Import!$G$5:$G$63,MATCH($A25,WFM_Import!$A$5:$A$63,0))-Legacy_Employees!G25,2)=0,"OK","Mismatch"))</f>
        <v>OK</v>
      </c>
      <c r="E25" s="23" t="str">
        <f aca="false">IF($C25="No","n/a",IF(INDEX(WFM_Import!$E$5:$E$63,MATCH($A25,WFM_Import!$A$5:$A$63,0))=Legacy_Employees!E25,"OK","Mismatch"))</f>
        <v>OK</v>
      </c>
      <c r="F25" s="23" t="str">
        <f aca="false">IF($C25="No","n/a",IF(INDEX(WFM_Import!$C$5:$C$63,MATCH($A25,WFM_Import!$A$5:$A$63,0))=Legacy_Employees!C25,"OK","Mismatch"))</f>
        <v>OK</v>
      </c>
      <c r="G25" s="23" t="str">
        <f aca="false">IF($C25="No","n/a",IF(INDEX(WFM_Import!$F$5:$F$63,MATCH($A25,WFM_Import!$A$5:$A$63,0))=Legacy_Employees!F25,"OK","Mismatch"))</f>
        <v>OK</v>
      </c>
      <c r="H25" s="23" t="str">
        <f aca="false">IF($C25="No","Missing",IF(COUNTIF(D25:G25,"OK")=4,"Match","Mismatch"))</f>
        <v>Match</v>
      </c>
    </row>
    <row r="26" customFormat="false" ht="15" hidden="false" customHeight="false" outlineLevel="0" collapsed="false">
      <c r="A26" s="9" t="str">
        <f aca="false">Legacy_Employees!A26</f>
        <v>E1022</v>
      </c>
      <c r="B26" s="9" t="str">
        <f aca="false">Legacy_Employees!C26</f>
        <v>QLD</v>
      </c>
      <c r="C26" s="23" t="str">
        <f aca="false">IF(ISNUMBER(MATCH($A26,WFM_Import!$A$5:$A$63,0)),"Yes","No")</f>
        <v>Yes</v>
      </c>
      <c r="D26" s="23" t="str">
        <f aca="false">IF($C26="No","n/a",IF(ROUND(INDEX(WFM_Import!$G$5:$G$63,MATCH($A26,WFM_Import!$A$5:$A$63,0))-Legacy_Employees!G26,2)=0,"OK","Mismatch"))</f>
        <v>OK</v>
      </c>
      <c r="E26" s="23" t="str">
        <f aca="false">IF($C26="No","n/a",IF(INDEX(WFM_Import!$E$5:$E$63,MATCH($A26,WFM_Import!$A$5:$A$63,0))=Legacy_Employees!E26,"OK","Mismatch"))</f>
        <v>OK</v>
      </c>
      <c r="F26" s="23" t="str">
        <f aca="false">IF($C26="No","n/a",IF(INDEX(WFM_Import!$C$5:$C$63,MATCH($A26,WFM_Import!$A$5:$A$63,0))=Legacy_Employees!C26,"OK","Mismatch"))</f>
        <v>Mismatch</v>
      </c>
      <c r="G26" s="23" t="str">
        <f aca="false">IF($C26="No","n/a",IF(INDEX(WFM_Import!$F$5:$F$63,MATCH($A26,WFM_Import!$A$5:$A$63,0))=Legacy_Employees!F26,"OK","Mismatch"))</f>
        <v>OK</v>
      </c>
      <c r="H26" s="23" t="str">
        <f aca="false">IF($C26="No","Missing",IF(COUNTIF(D26:G26,"OK")=4,"Match","Mismatch"))</f>
        <v>Mismatch</v>
      </c>
    </row>
    <row r="27" customFormat="false" ht="15" hidden="false" customHeight="false" outlineLevel="0" collapsed="false">
      <c r="A27" s="9" t="str">
        <f aca="false">Legacy_Employees!A27</f>
        <v>E1023</v>
      </c>
      <c r="B27" s="9" t="str">
        <f aca="false">Legacy_Employees!C27</f>
        <v>QLD</v>
      </c>
      <c r="C27" s="23" t="str">
        <f aca="false">IF(ISNUMBER(MATCH($A27,WFM_Import!$A$5:$A$63,0)),"Yes","No")</f>
        <v>Yes</v>
      </c>
      <c r="D27" s="23" t="str">
        <f aca="false">IF($C27="No","n/a",IF(ROUND(INDEX(WFM_Import!$G$5:$G$63,MATCH($A27,WFM_Import!$A$5:$A$63,0))-Legacy_Employees!G27,2)=0,"OK","Mismatch"))</f>
        <v>OK</v>
      </c>
      <c r="E27" s="23" t="str">
        <f aca="false">IF($C27="No","n/a",IF(INDEX(WFM_Import!$E$5:$E$63,MATCH($A27,WFM_Import!$A$5:$A$63,0))=Legacy_Employees!E27,"OK","Mismatch"))</f>
        <v>OK</v>
      </c>
      <c r="F27" s="23" t="str">
        <f aca="false">IF($C27="No","n/a",IF(INDEX(WFM_Import!$C$5:$C$63,MATCH($A27,WFM_Import!$A$5:$A$63,0))=Legacy_Employees!C27,"OK","Mismatch"))</f>
        <v>OK</v>
      </c>
      <c r="G27" s="23" t="str">
        <f aca="false">IF($C27="No","n/a",IF(INDEX(WFM_Import!$F$5:$F$63,MATCH($A27,WFM_Import!$A$5:$A$63,0))=Legacy_Employees!F27,"OK","Mismatch"))</f>
        <v>OK</v>
      </c>
      <c r="H27" s="23" t="str">
        <f aca="false">IF($C27="No","Missing",IF(COUNTIF(D27:G27,"OK")=4,"Match","Mismatch"))</f>
        <v>Match</v>
      </c>
    </row>
    <row r="28" customFormat="false" ht="15" hidden="false" customHeight="false" outlineLevel="0" collapsed="false">
      <c r="A28" s="9" t="str">
        <f aca="false">Legacy_Employees!A28</f>
        <v>E1024</v>
      </c>
      <c r="B28" s="9" t="str">
        <f aca="false">Legacy_Employees!C28</f>
        <v>NZ</v>
      </c>
      <c r="C28" s="23" t="str">
        <f aca="false">IF(ISNUMBER(MATCH($A28,WFM_Import!$A$5:$A$63,0)),"Yes","No")</f>
        <v>Yes</v>
      </c>
      <c r="D28" s="23" t="str">
        <f aca="false">IF($C28="No","n/a",IF(ROUND(INDEX(WFM_Import!$G$5:$G$63,MATCH($A28,WFM_Import!$A$5:$A$63,0))-Legacy_Employees!G28,2)=0,"OK","Mismatch"))</f>
        <v>OK</v>
      </c>
      <c r="E28" s="23" t="str">
        <f aca="false">IF($C28="No","n/a",IF(INDEX(WFM_Import!$E$5:$E$63,MATCH($A28,WFM_Import!$A$5:$A$63,0))=Legacy_Employees!E28,"OK","Mismatch"))</f>
        <v>OK</v>
      </c>
      <c r="F28" s="23" t="str">
        <f aca="false">IF($C28="No","n/a",IF(INDEX(WFM_Import!$C$5:$C$63,MATCH($A28,WFM_Import!$A$5:$A$63,0))=Legacy_Employees!C28,"OK","Mismatch"))</f>
        <v>OK</v>
      </c>
      <c r="G28" s="23" t="str">
        <f aca="false">IF($C28="No","n/a",IF(INDEX(WFM_Import!$F$5:$F$63,MATCH($A28,WFM_Import!$A$5:$A$63,0))=Legacy_Employees!F28,"OK","Mismatch"))</f>
        <v>OK</v>
      </c>
      <c r="H28" s="23" t="str">
        <f aca="false">IF($C28="No","Missing",IF(COUNTIF(D28:G28,"OK")=4,"Match","Mismatch"))</f>
        <v>Match</v>
      </c>
    </row>
    <row r="29" customFormat="false" ht="15" hidden="false" customHeight="false" outlineLevel="0" collapsed="false">
      <c r="A29" s="9" t="str">
        <f aca="false">Legacy_Employees!A29</f>
        <v>E1025</v>
      </c>
      <c r="B29" s="9" t="str">
        <f aca="false">Legacy_Employees!C29</f>
        <v>NSW</v>
      </c>
      <c r="C29" s="23" t="str">
        <f aca="false">IF(ISNUMBER(MATCH($A29,WFM_Import!$A$5:$A$63,0)),"Yes","No")</f>
        <v>Yes</v>
      </c>
      <c r="D29" s="23" t="str">
        <f aca="false">IF($C29="No","n/a",IF(ROUND(INDEX(WFM_Import!$G$5:$G$63,MATCH($A29,WFM_Import!$A$5:$A$63,0))-Legacy_Employees!G29,2)=0,"OK","Mismatch"))</f>
        <v>Mismatch</v>
      </c>
      <c r="E29" s="23" t="str">
        <f aca="false">IF($C29="No","n/a",IF(INDEX(WFM_Import!$E$5:$E$63,MATCH($A29,WFM_Import!$A$5:$A$63,0))=Legacy_Employees!E29,"OK","Mismatch"))</f>
        <v>OK</v>
      </c>
      <c r="F29" s="23" t="str">
        <f aca="false">IF($C29="No","n/a",IF(INDEX(WFM_Import!$C$5:$C$63,MATCH($A29,WFM_Import!$A$5:$A$63,0))=Legacy_Employees!C29,"OK","Mismatch"))</f>
        <v>OK</v>
      </c>
      <c r="G29" s="23" t="str">
        <f aca="false">IF($C29="No","n/a",IF(INDEX(WFM_Import!$F$5:$F$63,MATCH($A29,WFM_Import!$A$5:$A$63,0))=Legacy_Employees!F29,"OK","Mismatch"))</f>
        <v>OK</v>
      </c>
      <c r="H29" s="23" t="str">
        <f aca="false">IF($C29="No","Missing",IF(COUNTIF(D29:G29,"OK")=4,"Match","Mismatch"))</f>
        <v>Mismatch</v>
      </c>
    </row>
    <row r="30" customFormat="false" ht="15" hidden="false" customHeight="false" outlineLevel="0" collapsed="false">
      <c r="A30" s="9" t="str">
        <f aca="false">Legacy_Employees!A30</f>
        <v>E1026</v>
      </c>
      <c r="B30" s="9" t="str">
        <f aca="false">Legacy_Employees!C30</f>
        <v>VIC</v>
      </c>
      <c r="C30" s="23" t="str">
        <f aca="false">IF(ISNUMBER(MATCH($A30,WFM_Import!$A$5:$A$63,0)),"Yes","No")</f>
        <v>Yes</v>
      </c>
      <c r="D30" s="23" t="str">
        <f aca="false">IF($C30="No","n/a",IF(ROUND(INDEX(WFM_Import!$G$5:$G$63,MATCH($A30,WFM_Import!$A$5:$A$63,0))-Legacy_Employees!G30,2)=0,"OK","Mismatch"))</f>
        <v>OK</v>
      </c>
      <c r="E30" s="23" t="str">
        <f aca="false">IF($C30="No","n/a",IF(INDEX(WFM_Import!$E$5:$E$63,MATCH($A30,WFM_Import!$A$5:$A$63,0))=Legacy_Employees!E30,"OK","Mismatch"))</f>
        <v>OK</v>
      </c>
      <c r="F30" s="23" t="str">
        <f aca="false">IF($C30="No","n/a",IF(INDEX(WFM_Import!$C$5:$C$63,MATCH($A30,WFM_Import!$A$5:$A$63,0))=Legacy_Employees!C30,"OK","Mismatch"))</f>
        <v>OK</v>
      </c>
      <c r="G30" s="23" t="str">
        <f aca="false">IF($C30="No","n/a",IF(INDEX(WFM_Import!$F$5:$F$63,MATCH($A30,WFM_Import!$A$5:$A$63,0))=Legacy_Employees!F30,"OK","Mismatch"))</f>
        <v>OK</v>
      </c>
      <c r="H30" s="23" t="str">
        <f aca="false">IF($C30="No","Missing",IF(COUNTIF(D30:G30,"OK")=4,"Match","Mismatch"))</f>
        <v>Match</v>
      </c>
    </row>
    <row r="31" customFormat="false" ht="15" hidden="false" customHeight="false" outlineLevel="0" collapsed="false">
      <c r="A31" s="9" t="str">
        <f aca="false">Legacy_Employees!A31</f>
        <v>E1027</v>
      </c>
      <c r="B31" s="9" t="str">
        <f aca="false">Legacy_Employees!C31</f>
        <v>NZ</v>
      </c>
      <c r="C31" s="23" t="str">
        <f aca="false">IF(ISNUMBER(MATCH($A31,WFM_Import!$A$5:$A$63,0)),"Yes","No")</f>
        <v>Yes</v>
      </c>
      <c r="D31" s="23" t="str">
        <f aca="false">IF($C31="No","n/a",IF(ROUND(INDEX(WFM_Import!$G$5:$G$63,MATCH($A31,WFM_Import!$A$5:$A$63,0))-Legacy_Employees!G31,2)=0,"OK","Mismatch"))</f>
        <v>OK</v>
      </c>
      <c r="E31" s="23" t="str">
        <f aca="false">IF($C31="No","n/a",IF(INDEX(WFM_Import!$E$5:$E$63,MATCH($A31,WFM_Import!$A$5:$A$63,0))=Legacy_Employees!E31,"OK","Mismatch"))</f>
        <v>OK</v>
      </c>
      <c r="F31" s="23" t="str">
        <f aca="false">IF($C31="No","n/a",IF(INDEX(WFM_Import!$C$5:$C$63,MATCH($A31,WFM_Import!$A$5:$A$63,0))=Legacy_Employees!C31,"OK","Mismatch"))</f>
        <v>OK</v>
      </c>
      <c r="G31" s="23" t="str">
        <f aca="false">IF($C31="No","n/a",IF(INDEX(WFM_Import!$F$5:$F$63,MATCH($A31,WFM_Import!$A$5:$A$63,0))=Legacy_Employees!F31,"OK","Mismatch"))</f>
        <v>OK</v>
      </c>
      <c r="H31" s="23" t="str">
        <f aca="false">IF($C31="No","Missing",IF(COUNTIF(D31:G31,"OK")=4,"Match","Mismatch"))</f>
        <v>Match</v>
      </c>
    </row>
    <row r="32" customFormat="false" ht="15" hidden="false" customHeight="false" outlineLevel="0" collapsed="false">
      <c r="A32" s="9" t="str">
        <f aca="false">Legacy_Employees!A32</f>
        <v>E1028</v>
      </c>
      <c r="B32" s="9" t="str">
        <f aca="false">Legacy_Employees!C32</f>
        <v>NZ</v>
      </c>
      <c r="C32" s="23" t="str">
        <f aca="false">IF(ISNUMBER(MATCH($A32,WFM_Import!$A$5:$A$63,0)),"Yes","No")</f>
        <v>Yes</v>
      </c>
      <c r="D32" s="23" t="str">
        <f aca="false">IF($C32="No","n/a",IF(ROUND(INDEX(WFM_Import!$G$5:$G$63,MATCH($A32,WFM_Import!$A$5:$A$63,0))-Legacy_Employees!G32,2)=0,"OK","Mismatch"))</f>
        <v>OK</v>
      </c>
      <c r="E32" s="23" t="str">
        <f aca="false">IF($C32="No","n/a",IF(INDEX(WFM_Import!$E$5:$E$63,MATCH($A32,WFM_Import!$A$5:$A$63,0))=Legacy_Employees!E32,"OK","Mismatch"))</f>
        <v>OK</v>
      </c>
      <c r="F32" s="23" t="str">
        <f aca="false">IF($C32="No","n/a",IF(INDEX(WFM_Import!$C$5:$C$63,MATCH($A32,WFM_Import!$A$5:$A$63,0))=Legacy_Employees!C32,"OK","Mismatch"))</f>
        <v>OK</v>
      </c>
      <c r="G32" s="23" t="str">
        <f aca="false">IF($C32="No","n/a",IF(INDEX(WFM_Import!$F$5:$F$63,MATCH($A32,WFM_Import!$A$5:$A$63,0))=Legacy_Employees!F32,"OK","Mismatch"))</f>
        <v>OK</v>
      </c>
      <c r="H32" s="23" t="str">
        <f aca="false">IF($C32="No","Missing",IF(COUNTIF(D32:G32,"OK")=4,"Match","Mismatch"))</f>
        <v>Match</v>
      </c>
    </row>
    <row r="33" customFormat="false" ht="15" hidden="false" customHeight="false" outlineLevel="0" collapsed="false">
      <c r="A33" s="9" t="str">
        <f aca="false">Legacy_Employees!A33</f>
        <v>E1029</v>
      </c>
      <c r="B33" s="9" t="str">
        <f aca="false">Legacy_Employees!C33</f>
        <v>QLD</v>
      </c>
      <c r="C33" s="23" t="str">
        <f aca="false">IF(ISNUMBER(MATCH($A33,WFM_Import!$A$5:$A$63,0)),"Yes","No")</f>
        <v>Yes</v>
      </c>
      <c r="D33" s="23" t="str">
        <f aca="false">IF($C33="No","n/a",IF(ROUND(INDEX(WFM_Import!$G$5:$G$63,MATCH($A33,WFM_Import!$A$5:$A$63,0))-Legacy_Employees!G33,2)=0,"OK","Mismatch"))</f>
        <v>OK</v>
      </c>
      <c r="E33" s="23" t="str">
        <f aca="false">IF($C33="No","n/a",IF(INDEX(WFM_Import!$E$5:$E$63,MATCH($A33,WFM_Import!$A$5:$A$63,0))=Legacy_Employees!E33,"OK","Mismatch"))</f>
        <v>OK</v>
      </c>
      <c r="F33" s="23" t="str">
        <f aca="false">IF($C33="No","n/a",IF(INDEX(WFM_Import!$C$5:$C$63,MATCH($A33,WFM_Import!$A$5:$A$63,0))=Legacy_Employees!C33,"OK","Mismatch"))</f>
        <v>OK</v>
      </c>
      <c r="G33" s="23" t="str">
        <f aca="false">IF($C33="No","n/a",IF(INDEX(WFM_Import!$F$5:$F$63,MATCH($A33,WFM_Import!$A$5:$A$63,0))=Legacy_Employees!F33,"OK","Mismatch"))</f>
        <v>OK</v>
      </c>
      <c r="H33" s="23" t="str">
        <f aca="false">IF($C33="No","Missing",IF(COUNTIF(D33:G33,"OK")=4,"Match","Mismatch"))</f>
        <v>Match</v>
      </c>
    </row>
    <row r="34" customFormat="false" ht="15" hidden="false" customHeight="false" outlineLevel="0" collapsed="false">
      <c r="A34" s="9" t="str">
        <f aca="false">Legacy_Employees!A34</f>
        <v>E1030</v>
      </c>
      <c r="B34" s="9" t="str">
        <f aca="false">Legacy_Employees!C34</f>
        <v>VIC</v>
      </c>
      <c r="C34" s="23" t="str">
        <f aca="false">IF(ISNUMBER(MATCH($A34,WFM_Import!$A$5:$A$63,0)),"Yes","No")</f>
        <v>No</v>
      </c>
      <c r="D34" s="23" t="str">
        <f aca="false">IF($C34="No","n/a",IF(ROUND(INDEX(WFM_Import!$G$5:$G$63,MATCH($A34,WFM_Import!$A$5:$A$63,0))-Legacy_Employees!G34,2)=0,"OK","Mismatch"))</f>
        <v>n/a</v>
      </c>
      <c r="E34" s="23" t="str">
        <f aca="false">IF($C34="No","n/a",IF(INDEX(WFM_Import!$E$5:$E$63,MATCH($A34,WFM_Import!$A$5:$A$63,0))=Legacy_Employees!E34,"OK","Mismatch"))</f>
        <v>n/a</v>
      </c>
      <c r="F34" s="23" t="str">
        <f aca="false">IF($C34="No","n/a",IF(INDEX(WFM_Import!$C$5:$C$63,MATCH($A34,WFM_Import!$A$5:$A$63,0))=Legacy_Employees!C34,"OK","Mismatch"))</f>
        <v>n/a</v>
      </c>
      <c r="G34" s="23" t="str">
        <f aca="false">IF($C34="No","n/a",IF(INDEX(WFM_Import!$F$5:$F$63,MATCH($A34,WFM_Import!$A$5:$A$63,0))=Legacy_Employees!F34,"OK","Mismatch"))</f>
        <v>n/a</v>
      </c>
      <c r="H34" s="23" t="str">
        <f aca="false">IF($C34="No","Missing",IF(COUNTIF(D34:G34,"OK")=4,"Match","Mismatch"))</f>
        <v>Missing</v>
      </c>
    </row>
    <row r="35" customFormat="false" ht="15" hidden="false" customHeight="false" outlineLevel="0" collapsed="false">
      <c r="A35" s="9" t="str">
        <f aca="false">Legacy_Employees!A35</f>
        <v>E1031</v>
      </c>
      <c r="B35" s="9" t="str">
        <f aca="false">Legacy_Employees!C35</f>
        <v>NZ</v>
      </c>
      <c r="C35" s="23" t="str">
        <f aca="false">IF(ISNUMBER(MATCH($A35,WFM_Import!$A$5:$A$63,0)),"Yes","No")</f>
        <v>Yes</v>
      </c>
      <c r="D35" s="23" t="str">
        <f aca="false">IF($C35="No","n/a",IF(ROUND(INDEX(WFM_Import!$G$5:$G$63,MATCH($A35,WFM_Import!$A$5:$A$63,0))-Legacy_Employees!G35,2)=0,"OK","Mismatch"))</f>
        <v>OK</v>
      </c>
      <c r="E35" s="23" t="str">
        <f aca="false">IF($C35="No","n/a",IF(INDEX(WFM_Import!$E$5:$E$63,MATCH($A35,WFM_Import!$A$5:$A$63,0))=Legacy_Employees!E35,"OK","Mismatch"))</f>
        <v>OK</v>
      </c>
      <c r="F35" s="23" t="str">
        <f aca="false">IF($C35="No","n/a",IF(INDEX(WFM_Import!$C$5:$C$63,MATCH($A35,WFM_Import!$A$5:$A$63,0))=Legacy_Employees!C35,"OK","Mismatch"))</f>
        <v>OK</v>
      </c>
      <c r="G35" s="23" t="str">
        <f aca="false">IF($C35="No","n/a",IF(INDEX(WFM_Import!$F$5:$F$63,MATCH($A35,WFM_Import!$A$5:$A$63,0))=Legacy_Employees!F35,"OK","Mismatch"))</f>
        <v>OK</v>
      </c>
      <c r="H35" s="23" t="str">
        <f aca="false">IF($C35="No","Missing",IF(COUNTIF(D35:G35,"OK")=4,"Match","Mismatch"))</f>
        <v>Match</v>
      </c>
    </row>
    <row r="36" customFormat="false" ht="15" hidden="false" customHeight="false" outlineLevel="0" collapsed="false">
      <c r="A36" s="9" t="str">
        <f aca="false">Legacy_Employees!A36</f>
        <v>E1032</v>
      </c>
      <c r="B36" s="9" t="str">
        <f aca="false">Legacy_Employees!C36</f>
        <v>NSW</v>
      </c>
      <c r="C36" s="23" t="str">
        <f aca="false">IF(ISNUMBER(MATCH($A36,WFM_Import!$A$5:$A$63,0)),"Yes","No")</f>
        <v>Yes</v>
      </c>
      <c r="D36" s="23" t="str">
        <f aca="false">IF($C36="No","n/a",IF(ROUND(INDEX(WFM_Import!$G$5:$G$63,MATCH($A36,WFM_Import!$A$5:$A$63,0))-Legacy_Employees!G36,2)=0,"OK","Mismatch"))</f>
        <v>OK</v>
      </c>
      <c r="E36" s="23" t="str">
        <f aca="false">IF($C36="No","n/a",IF(INDEX(WFM_Import!$E$5:$E$63,MATCH($A36,WFM_Import!$A$5:$A$63,0))=Legacy_Employees!E36,"OK","Mismatch"))</f>
        <v>OK</v>
      </c>
      <c r="F36" s="23" t="str">
        <f aca="false">IF($C36="No","n/a",IF(INDEX(WFM_Import!$C$5:$C$63,MATCH($A36,WFM_Import!$A$5:$A$63,0))=Legacy_Employees!C36,"OK","Mismatch"))</f>
        <v>OK</v>
      </c>
      <c r="G36" s="23" t="str">
        <f aca="false">IF($C36="No","n/a",IF(INDEX(WFM_Import!$F$5:$F$63,MATCH($A36,WFM_Import!$A$5:$A$63,0))=Legacy_Employees!F36,"OK","Mismatch"))</f>
        <v>OK</v>
      </c>
      <c r="H36" s="23" t="str">
        <f aca="false">IF($C36="No","Missing",IF(COUNTIF(D36:G36,"OK")=4,"Match","Mismatch"))</f>
        <v>Match</v>
      </c>
    </row>
    <row r="37" customFormat="false" ht="15" hidden="false" customHeight="false" outlineLevel="0" collapsed="false">
      <c r="A37" s="9" t="str">
        <f aca="false">Legacy_Employees!A37</f>
        <v>E1033</v>
      </c>
      <c r="B37" s="9" t="str">
        <f aca="false">Legacy_Employees!C37</f>
        <v>QLD</v>
      </c>
      <c r="C37" s="23" t="str">
        <f aca="false">IF(ISNUMBER(MATCH($A37,WFM_Import!$A$5:$A$63,0)),"Yes","No")</f>
        <v>Yes</v>
      </c>
      <c r="D37" s="23" t="str">
        <f aca="false">IF($C37="No","n/a",IF(ROUND(INDEX(WFM_Import!$G$5:$G$63,MATCH($A37,WFM_Import!$A$5:$A$63,0))-Legacy_Employees!G37,2)=0,"OK","Mismatch"))</f>
        <v>OK</v>
      </c>
      <c r="E37" s="23" t="str">
        <f aca="false">IF($C37="No","n/a",IF(INDEX(WFM_Import!$E$5:$E$63,MATCH($A37,WFM_Import!$A$5:$A$63,0))=Legacy_Employees!E37,"OK","Mismatch"))</f>
        <v>OK</v>
      </c>
      <c r="F37" s="23" t="str">
        <f aca="false">IF($C37="No","n/a",IF(INDEX(WFM_Import!$C$5:$C$63,MATCH($A37,WFM_Import!$A$5:$A$63,0))=Legacy_Employees!C37,"OK","Mismatch"))</f>
        <v>OK</v>
      </c>
      <c r="G37" s="23" t="str">
        <f aca="false">IF($C37="No","n/a",IF(INDEX(WFM_Import!$F$5:$F$63,MATCH($A37,WFM_Import!$A$5:$A$63,0))=Legacy_Employees!F37,"OK","Mismatch"))</f>
        <v>OK</v>
      </c>
      <c r="H37" s="23" t="str">
        <f aca="false">IF($C37="No","Missing",IF(COUNTIF(D37:G37,"OK")=4,"Match","Mismatch"))</f>
        <v>Match</v>
      </c>
    </row>
    <row r="38" customFormat="false" ht="15" hidden="false" customHeight="false" outlineLevel="0" collapsed="false">
      <c r="A38" s="9" t="str">
        <f aca="false">Legacy_Employees!A38</f>
        <v>E1034</v>
      </c>
      <c r="B38" s="9" t="str">
        <f aca="false">Legacy_Employees!C38</f>
        <v>NSW</v>
      </c>
      <c r="C38" s="23" t="str">
        <f aca="false">IF(ISNUMBER(MATCH($A38,WFM_Import!$A$5:$A$63,0)),"Yes","No")</f>
        <v>Yes</v>
      </c>
      <c r="D38" s="23" t="str">
        <f aca="false">IF($C38="No","n/a",IF(ROUND(INDEX(WFM_Import!$G$5:$G$63,MATCH($A38,WFM_Import!$A$5:$A$63,0))-Legacy_Employees!G38,2)=0,"OK","Mismatch"))</f>
        <v>OK</v>
      </c>
      <c r="E38" s="23" t="str">
        <f aca="false">IF($C38="No","n/a",IF(INDEX(WFM_Import!$E$5:$E$63,MATCH($A38,WFM_Import!$A$5:$A$63,0))=Legacy_Employees!E38,"OK","Mismatch"))</f>
        <v>OK</v>
      </c>
      <c r="F38" s="23" t="str">
        <f aca="false">IF($C38="No","n/a",IF(INDEX(WFM_Import!$C$5:$C$63,MATCH($A38,WFM_Import!$A$5:$A$63,0))=Legacy_Employees!C38,"OK","Mismatch"))</f>
        <v>OK</v>
      </c>
      <c r="G38" s="23" t="str">
        <f aca="false">IF($C38="No","n/a",IF(INDEX(WFM_Import!$F$5:$F$63,MATCH($A38,WFM_Import!$A$5:$A$63,0))=Legacy_Employees!F38,"OK","Mismatch"))</f>
        <v>OK</v>
      </c>
      <c r="H38" s="23" t="str">
        <f aca="false">IF($C38="No","Missing",IF(COUNTIF(D38:G38,"OK")=4,"Match","Mismatch"))</f>
        <v>Match</v>
      </c>
    </row>
    <row r="39" customFormat="false" ht="15" hidden="false" customHeight="false" outlineLevel="0" collapsed="false">
      <c r="A39" s="9" t="str">
        <f aca="false">Legacy_Employees!A39</f>
        <v>E1035</v>
      </c>
      <c r="B39" s="9" t="str">
        <f aca="false">Legacy_Employees!C39</f>
        <v>NZ</v>
      </c>
      <c r="C39" s="23" t="str">
        <f aca="false">IF(ISNUMBER(MATCH($A39,WFM_Import!$A$5:$A$63,0)),"Yes","No")</f>
        <v>Yes</v>
      </c>
      <c r="D39" s="23" t="str">
        <f aca="false">IF($C39="No","n/a",IF(ROUND(INDEX(WFM_Import!$G$5:$G$63,MATCH($A39,WFM_Import!$A$5:$A$63,0))-Legacy_Employees!G39,2)=0,"OK","Mismatch"))</f>
        <v>OK</v>
      </c>
      <c r="E39" s="23" t="str">
        <f aca="false">IF($C39="No","n/a",IF(INDEX(WFM_Import!$E$5:$E$63,MATCH($A39,WFM_Import!$A$5:$A$63,0))=Legacy_Employees!E39,"OK","Mismatch"))</f>
        <v>OK</v>
      </c>
      <c r="F39" s="23" t="str">
        <f aca="false">IF($C39="No","n/a",IF(INDEX(WFM_Import!$C$5:$C$63,MATCH($A39,WFM_Import!$A$5:$A$63,0))=Legacy_Employees!C39,"OK","Mismatch"))</f>
        <v>OK</v>
      </c>
      <c r="G39" s="23" t="str">
        <f aca="false">IF($C39="No","n/a",IF(INDEX(WFM_Import!$F$5:$F$63,MATCH($A39,WFM_Import!$A$5:$A$63,0))=Legacy_Employees!F39,"OK","Mismatch"))</f>
        <v>OK</v>
      </c>
      <c r="H39" s="23" t="str">
        <f aca="false">IF($C39="No","Missing",IF(COUNTIF(D39:G39,"OK")=4,"Match","Mismatch"))</f>
        <v>Match</v>
      </c>
    </row>
    <row r="40" customFormat="false" ht="15" hidden="false" customHeight="false" outlineLevel="0" collapsed="false">
      <c r="A40" s="9" t="str">
        <f aca="false">Legacy_Employees!A40</f>
        <v>E1036</v>
      </c>
      <c r="B40" s="9" t="str">
        <f aca="false">Legacy_Employees!C40</f>
        <v>NZ</v>
      </c>
      <c r="C40" s="23" t="str">
        <f aca="false">IF(ISNUMBER(MATCH($A40,WFM_Import!$A$5:$A$63,0)),"Yes","No")</f>
        <v>Yes</v>
      </c>
      <c r="D40" s="23" t="str">
        <f aca="false">IF($C40="No","n/a",IF(ROUND(INDEX(WFM_Import!$G$5:$G$63,MATCH($A40,WFM_Import!$A$5:$A$63,0))-Legacy_Employees!G40,2)=0,"OK","Mismatch"))</f>
        <v>OK</v>
      </c>
      <c r="E40" s="23" t="str">
        <f aca="false">IF($C40="No","n/a",IF(INDEX(WFM_Import!$E$5:$E$63,MATCH($A40,WFM_Import!$A$5:$A$63,0))=Legacy_Employees!E40,"OK","Mismatch"))</f>
        <v>OK</v>
      </c>
      <c r="F40" s="23" t="str">
        <f aca="false">IF($C40="No","n/a",IF(INDEX(WFM_Import!$C$5:$C$63,MATCH($A40,WFM_Import!$A$5:$A$63,0))=Legacy_Employees!C40,"OK","Mismatch"))</f>
        <v>OK</v>
      </c>
      <c r="G40" s="23" t="str">
        <f aca="false">IF($C40="No","n/a",IF(INDEX(WFM_Import!$F$5:$F$63,MATCH($A40,WFM_Import!$A$5:$A$63,0))=Legacy_Employees!F40,"OK","Mismatch"))</f>
        <v>OK</v>
      </c>
      <c r="H40" s="23" t="str">
        <f aca="false">IF($C40="No","Missing",IF(COUNTIF(D40:G40,"OK")=4,"Match","Mismatch"))</f>
        <v>Match</v>
      </c>
    </row>
    <row r="41" customFormat="false" ht="15" hidden="false" customHeight="false" outlineLevel="0" collapsed="false">
      <c r="A41" s="9" t="str">
        <f aca="false">Legacy_Employees!A41</f>
        <v>E1037</v>
      </c>
      <c r="B41" s="9" t="str">
        <f aca="false">Legacy_Employees!C41</f>
        <v>NZ</v>
      </c>
      <c r="C41" s="23" t="str">
        <f aca="false">IF(ISNUMBER(MATCH($A41,WFM_Import!$A$5:$A$63,0)),"Yes","No")</f>
        <v>Yes</v>
      </c>
      <c r="D41" s="23" t="str">
        <f aca="false">IF($C41="No","n/a",IF(ROUND(INDEX(WFM_Import!$G$5:$G$63,MATCH($A41,WFM_Import!$A$5:$A$63,0))-Legacy_Employees!G41,2)=0,"OK","Mismatch"))</f>
        <v>OK</v>
      </c>
      <c r="E41" s="23" t="str">
        <f aca="false">IF($C41="No","n/a",IF(INDEX(WFM_Import!$E$5:$E$63,MATCH($A41,WFM_Import!$A$5:$A$63,0))=Legacy_Employees!E41,"OK","Mismatch"))</f>
        <v>OK</v>
      </c>
      <c r="F41" s="23" t="str">
        <f aca="false">IF($C41="No","n/a",IF(INDEX(WFM_Import!$C$5:$C$63,MATCH($A41,WFM_Import!$A$5:$A$63,0))=Legacy_Employees!C41,"OK","Mismatch"))</f>
        <v>OK</v>
      </c>
      <c r="G41" s="23" t="str">
        <f aca="false">IF($C41="No","n/a",IF(INDEX(WFM_Import!$F$5:$F$63,MATCH($A41,WFM_Import!$A$5:$A$63,0))=Legacy_Employees!F41,"OK","Mismatch"))</f>
        <v>OK</v>
      </c>
      <c r="H41" s="23" t="str">
        <f aca="false">IF($C41="No","Missing",IF(COUNTIF(D41:G41,"OK")=4,"Match","Mismatch"))</f>
        <v>Match</v>
      </c>
    </row>
    <row r="42" customFormat="false" ht="15" hidden="false" customHeight="false" outlineLevel="0" collapsed="false">
      <c r="A42" s="9" t="str">
        <f aca="false">Legacy_Employees!A42</f>
        <v>E1038</v>
      </c>
      <c r="B42" s="9" t="str">
        <f aca="false">Legacy_Employees!C42</f>
        <v>NSW</v>
      </c>
      <c r="C42" s="23" t="str">
        <f aca="false">IF(ISNUMBER(MATCH($A42,WFM_Import!$A$5:$A$63,0)),"Yes","No")</f>
        <v>Yes</v>
      </c>
      <c r="D42" s="23" t="str">
        <f aca="false">IF($C42="No","n/a",IF(ROUND(INDEX(WFM_Import!$G$5:$G$63,MATCH($A42,WFM_Import!$A$5:$A$63,0))-Legacy_Employees!G42,2)=0,"OK","Mismatch"))</f>
        <v>Mismatch</v>
      </c>
      <c r="E42" s="23" t="str">
        <f aca="false">IF($C42="No","n/a",IF(INDEX(WFM_Import!$E$5:$E$63,MATCH($A42,WFM_Import!$A$5:$A$63,0))=Legacy_Employees!E42,"OK","Mismatch"))</f>
        <v>OK</v>
      </c>
      <c r="F42" s="23" t="str">
        <f aca="false">IF($C42="No","n/a",IF(INDEX(WFM_Import!$C$5:$C$63,MATCH($A42,WFM_Import!$A$5:$A$63,0))=Legacy_Employees!C42,"OK","Mismatch"))</f>
        <v>OK</v>
      </c>
      <c r="G42" s="23" t="str">
        <f aca="false">IF($C42="No","n/a",IF(INDEX(WFM_Import!$F$5:$F$63,MATCH($A42,WFM_Import!$A$5:$A$63,0))=Legacy_Employees!F42,"OK","Mismatch"))</f>
        <v>OK</v>
      </c>
      <c r="H42" s="23" t="str">
        <f aca="false">IF($C42="No","Missing",IF(COUNTIF(D42:G42,"OK")=4,"Match","Mismatch"))</f>
        <v>Mismatch</v>
      </c>
    </row>
    <row r="43" customFormat="false" ht="15" hidden="false" customHeight="false" outlineLevel="0" collapsed="false">
      <c r="A43" s="9" t="str">
        <f aca="false">Legacy_Employees!A43</f>
        <v>E1039</v>
      </c>
      <c r="B43" s="9" t="str">
        <f aca="false">Legacy_Employees!C43</f>
        <v>QLD</v>
      </c>
      <c r="C43" s="23" t="str">
        <f aca="false">IF(ISNUMBER(MATCH($A43,WFM_Import!$A$5:$A$63,0)),"Yes","No")</f>
        <v>Yes</v>
      </c>
      <c r="D43" s="23" t="str">
        <f aca="false">IF($C43="No","n/a",IF(ROUND(INDEX(WFM_Import!$G$5:$G$63,MATCH($A43,WFM_Import!$A$5:$A$63,0))-Legacy_Employees!G43,2)=0,"OK","Mismatch"))</f>
        <v>OK</v>
      </c>
      <c r="E43" s="23" t="str">
        <f aca="false">IF($C43="No","n/a",IF(INDEX(WFM_Import!$E$5:$E$63,MATCH($A43,WFM_Import!$A$5:$A$63,0))=Legacy_Employees!E43,"OK","Mismatch"))</f>
        <v>OK</v>
      </c>
      <c r="F43" s="23" t="str">
        <f aca="false">IF($C43="No","n/a",IF(INDEX(WFM_Import!$C$5:$C$63,MATCH($A43,WFM_Import!$A$5:$A$63,0))=Legacy_Employees!C43,"OK","Mismatch"))</f>
        <v>OK</v>
      </c>
      <c r="G43" s="23" t="str">
        <f aca="false">IF($C43="No","n/a",IF(INDEX(WFM_Import!$F$5:$F$63,MATCH($A43,WFM_Import!$A$5:$A$63,0))=Legacy_Employees!F43,"OK","Mismatch"))</f>
        <v>OK</v>
      </c>
      <c r="H43" s="23" t="str">
        <f aca="false">IF($C43="No","Missing",IF(COUNTIF(D43:G43,"OK")=4,"Match","Mismatch"))</f>
        <v>Match</v>
      </c>
    </row>
    <row r="44" customFormat="false" ht="15" hidden="false" customHeight="false" outlineLevel="0" collapsed="false">
      <c r="A44" s="9" t="str">
        <f aca="false">Legacy_Employees!A44</f>
        <v>E1040</v>
      </c>
      <c r="B44" s="9" t="str">
        <f aca="false">Legacy_Employees!C44</f>
        <v>NZ</v>
      </c>
      <c r="C44" s="23" t="str">
        <f aca="false">IF(ISNUMBER(MATCH($A44,WFM_Import!$A$5:$A$63,0)),"Yes","No")</f>
        <v>Yes</v>
      </c>
      <c r="D44" s="23" t="str">
        <f aca="false">IF($C44="No","n/a",IF(ROUND(INDEX(WFM_Import!$G$5:$G$63,MATCH($A44,WFM_Import!$A$5:$A$63,0))-Legacy_Employees!G44,2)=0,"OK","Mismatch"))</f>
        <v>OK</v>
      </c>
      <c r="E44" s="23" t="str">
        <f aca="false">IF($C44="No","n/a",IF(INDEX(WFM_Import!$E$5:$E$63,MATCH($A44,WFM_Import!$A$5:$A$63,0))=Legacy_Employees!E44,"OK","Mismatch"))</f>
        <v>OK</v>
      </c>
      <c r="F44" s="23" t="str">
        <f aca="false">IF($C44="No","n/a",IF(INDEX(WFM_Import!$C$5:$C$63,MATCH($A44,WFM_Import!$A$5:$A$63,0))=Legacy_Employees!C44,"OK","Mismatch"))</f>
        <v>OK</v>
      </c>
      <c r="G44" s="23" t="str">
        <f aca="false">IF($C44="No","n/a",IF(INDEX(WFM_Import!$F$5:$F$63,MATCH($A44,WFM_Import!$A$5:$A$63,0))=Legacy_Employees!F44,"OK","Mismatch"))</f>
        <v>OK</v>
      </c>
      <c r="H44" s="23" t="str">
        <f aca="false">IF($C44="No","Missing",IF(COUNTIF(D44:G44,"OK")=4,"Match","Mismatch"))</f>
        <v>Match</v>
      </c>
    </row>
    <row r="45" customFormat="false" ht="15" hidden="false" customHeight="false" outlineLevel="0" collapsed="false">
      <c r="A45" s="9" t="str">
        <f aca="false">Legacy_Employees!A45</f>
        <v>E1041</v>
      </c>
      <c r="B45" s="9" t="str">
        <f aca="false">Legacy_Employees!C45</f>
        <v>QLD</v>
      </c>
      <c r="C45" s="23" t="str">
        <f aca="false">IF(ISNUMBER(MATCH($A45,WFM_Import!$A$5:$A$63,0)),"Yes","No")</f>
        <v>Yes</v>
      </c>
      <c r="D45" s="23" t="str">
        <f aca="false">IF($C45="No","n/a",IF(ROUND(INDEX(WFM_Import!$G$5:$G$63,MATCH($A45,WFM_Import!$A$5:$A$63,0))-Legacy_Employees!G45,2)=0,"OK","Mismatch"))</f>
        <v>OK</v>
      </c>
      <c r="E45" s="23" t="str">
        <f aca="false">IF($C45="No","n/a",IF(INDEX(WFM_Import!$E$5:$E$63,MATCH($A45,WFM_Import!$A$5:$A$63,0))=Legacy_Employees!E45,"OK","Mismatch"))</f>
        <v>OK</v>
      </c>
      <c r="F45" s="23" t="str">
        <f aca="false">IF($C45="No","n/a",IF(INDEX(WFM_Import!$C$5:$C$63,MATCH($A45,WFM_Import!$A$5:$A$63,0))=Legacy_Employees!C45,"OK","Mismatch"))</f>
        <v>OK</v>
      </c>
      <c r="G45" s="23" t="str">
        <f aca="false">IF($C45="No","n/a",IF(INDEX(WFM_Import!$F$5:$F$63,MATCH($A45,WFM_Import!$A$5:$A$63,0))=Legacy_Employees!F45,"OK","Mismatch"))</f>
        <v>OK</v>
      </c>
      <c r="H45" s="23" t="str">
        <f aca="false">IF($C45="No","Missing",IF(COUNTIF(D45:G45,"OK")=4,"Match","Mismatch"))</f>
        <v>Match</v>
      </c>
    </row>
    <row r="46" customFormat="false" ht="15" hidden="false" customHeight="false" outlineLevel="0" collapsed="false">
      <c r="A46" s="9" t="str">
        <f aca="false">Legacy_Employees!A46</f>
        <v>E1042</v>
      </c>
      <c r="B46" s="9" t="str">
        <f aca="false">Legacy_Employees!C46</f>
        <v>NZ</v>
      </c>
      <c r="C46" s="23" t="str">
        <f aca="false">IF(ISNUMBER(MATCH($A46,WFM_Import!$A$5:$A$63,0)),"Yes","No")</f>
        <v>Yes</v>
      </c>
      <c r="D46" s="23" t="str">
        <f aca="false">IF($C46="No","n/a",IF(ROUND(INDEX(WFM_Import!$G$5:$G$63,MATCH($A46,WFM_Import!$A$5:$A$63,0))-Legacy_Employees!G46,2)=0,"OK","Mismatch"))</f>
        <v>OK</v>
      </c>
      <c r="E46" s="23" t="str">
        <f aca="false">IF($C46="No","n/a",IF(INDEX(WFM_Import!$E$5:$E$63,MATCH($A46,WFM_Import!$A$5:$A$63,0))=Legacy_Employees!E46,"OK","Mismatch"))</f>
        <v>OK</v>
      </c>
      <c r="F46" s="23" t="str">
        <f aca="false">IF($C46="No","n/a",IF(INDEX(WFM_Import!$C$5:$C$63,MATCH($A46,WFM_Import!$A$5:$A$63,0))=Legacy_Employees!C46,"OK","Mismatch"))</f>
        <v>OK</v>
      </c>
      <c r="G46" s="23" t="str">
        <f aca="false">IF($C46="No","n/a",IF(INDEX(WFM_Import!$F$5:$F$63,MATCH($A46,WFM_Import!$A$5:$A$63,0))=Legacy_Employees!F46,"OK","Mismatch"))</f>
        <v>OK</v>
      </c>
      <c r="H46" s="23" t="str">
        <f aca="false">IF($C46="No","Missing",IF(COUNTIF(D46:G46,"OK")=4,"Match","Mismatch"))</f>
        <v>Match</v>
      </c>
    </row>
    <row r="47" customFormat="false" ht="15" hidden="false" customHeight="false" outlineLevel="0" collapsed="false">
      <c r="A47" s="9" t="str">
        <f aca="false">Legacy_Employees!A47</f>
        <v>E1043</v>
      </c>
      <c r="B47" s="9" t="str">
        <f aca="false">Legacy_Employees!C47</f>
        <v>NSW</v>
      </c>
      <c r="C47" s="23" t="str">
        <f aca="false">IF(ISNUMBER(MATCH($A47,WFM_Import!$A$5:$A$63,0)),"Yes","No")</f>
        <v>Yes</v>
      </c>
      <c r="D47" s="23" t="str">
        <f aca="false">IF($C47="No","n/a",IF(ROUND(INDEX(WFM_Import!$G$5:$G$63,MATCH($A47,WFM_Import!$A$5:$A$63,0))-Legacy_Employees!G47,2)=0,"OK","Mismatch"))</f>
        <v>OK</v>
      </c>
      <c r="E47" s="23" t="str">
        <f aca="false">IF($C47="No","n/a",IF(INDEX(WFM_Import!$E$5:$E$63,MATCH($A47,WFM_Import!$A$5:$A$63,0))=Legacy_Employees!E47,"OK","Mismatch"))</f>
        <v>OK</v>
      </c>
      <c r="F47" s="23" t="str">
        <f aca="false">IF($C47="No","n/a",IF(INDEX(WFM_Import!$C$5:$C$63,MATCH($A47,WFM_Import!$A$5:$A$63,0))=Legacy_Employees!C47,"OK","Mismatch"))</f>
        <v>OK</v>
      </c>
      <c r="G47" s="23" t="str">
        <f aca="false">IF($C47="No","n/a",IF(INDEX(WFM_Import!$F$5:$F$63,MATCH($A47,WFM_Import!$A$5:$A$63,0))=Legacy_Employees!F47,"OK","Mismatch"))</f>
        <v>OK</v>
      </c>
      <c r="H47" s="23" t="str">
        <f aca="false">IF($C47="No","Missing",IF(COUNTIF(D47:G47,"OK")=4,"Match","Mismatch"))</f>
        <v>Match</v>
      </c>
    </row>
    <row r="48" customFormat="false" ht="15" hidden="false" customHeight="false" outlineLevel="0" collapsed="false">
      <c r="A48" s="9" t="str">
        <f aca="false">Legacy_Employees!A48</f>
        <v>E1044</v>
      </c>
      <c r="B48" s="9" t="str">
        <f aca="false">Legacy_Employees!C48</f>
        <v>VIC</v>
      </c>
      <c r="C48" s="23" t="str">
        <f aca="false">IF(ISNUMBER(MATCH($A48,WFM_Import!$A$5:$A$63,0)),"Yes","No")</f>
        <v>Yes</v>
      </c>
      <c r="D48" s="23" t="str">
        <f aca="false">IF($C48="No","n/a",IF(ROUND(INDEX(WFM_Import!$G$5:$G$63,MATCH($A48,WFM_Import!$A$5:$A$63,0))-Legacy_Employees!G48,2)=0,"OK","Mismatch"))</f>
        <v>OK</v>
      </c>
      <c r="E48" s="23" t="str">
        <f aca="false">IF($C48="No","n/a",IF(INDEX(WFM_Import!$E$5:$E$63,MATCH($A48,WFM_Import!$A$5:$A$63,0))=Legacy_Employees!E48,"OK","Mismatch"))</f>
        <v>OK</v>
      </c>
      <c r="F48" s="23" t="str">
        <f aca="false">IF($C48="No","n/a",IF(INDEX(WFM_Import!$C$5:$C$63,MATCH($A48,WFM_Import!$A$5:$A$63,0))=Legacy_Employees!C48,"OK","Mismatch"))</f>
        <v>OK</v>
      </c>
      <c r="G48" s="23" t="str">
        <f aca="false">IF($C48="No","n/a",IF(INDEX(WFM_Import!$F$5:$F$63,MATCH($A48,WFM_Import!$A$5:$A$63,0))=Legacy_Employees!F48,"OK","Mismatch"))</f>
        <v>OK</v>
      </c>
      <c r="H48" s="23" t="str">
        <f aca="false">IF($C48="No","Missing",IF(COUNTIF(D48:G48,"OK")=4,"Match","Mismatch"))</f>
        <v>Match</v>
      </c>
    </row>
    <row r="49" customFormat="false" ht="15" hidden="false" customHeight="false" outlineLevel="0" collapsed="false">
      <c r="A49" s="9" t="str">
        <f aca="false">Legacy_Employees!A49</f>
        <v>E1045</v>
      </c>
      <c r="B49" s="9" t="str">
        <f aca="false">Legacy_Employees!C49</f>
        <v>QLD</v>
      </c>
      <c r="C49" s="23" t="str">
        <f aca="false">IF(ISNUMBER(MATCH($A49,WFM_Import!$A$5:$A$63,0)),"Yes","No")</f>
        <v>Yes</v>
      </c>
      <c r="D49" s="23" t="str">
        <f aca="false">IF($C49="No","n/a",IF(ROUND(INDEX(WFM_Import!$G$5:$G$63,MATCH($A49,WFM_Import!$A$5:$A$63,0))-Legacy_Employees!G49,2)=0,"OK","Mismatch"))</f>
        <v>OK</v>
      </c>
      <c r="E49" s="23" t="str">
        <f aca="false">IF($C49="No","n/a",IF(INDEX(WFM_Import!$E$5:$E$63,MATCH($A49,WFM_Import!$A$5:$A$63,0))=Legacy_Employees!E49,"OK","Mismatch"))</f>
        <v>Mismatch</v>
      </c>
      <c r="F49" s="23" t="str">
        <f aca="false">IF($C49="No","n/a",IF(INDEX(WFM_Import!$C$5:$C$63,MATCH($A49,WFM_Import!$A$5:$A$63,0))=Legacy_Employees!C49,"OK","Mismatch"))</f>
        <v>OK</v>
      </c>
      <c r="G49" s="23" t="str">
        <f aca="false">IF($C49="No","n/a",IF(INDEX(WFM_Import!$F$5:$F$63,MATCH($A49,WFM_Import!$A$5:$A$63,0))=Legacy_Employees!F49,"OK","Mismatch"))</f>
        <v>OK</v>
      </c>
      <c r="H49" s="23" t="str">
        <f aca="false">IF($C49="No","Missing",IF(COUNTIF(D49:G49,"OK")=4,"Match","Mismatch"))</f>
        <v>Mismatch</v>
      </c>
    </row>
    <row r="50" customFormat="false" ht="15" hidden="false" customHeight="false" outlineLevel="0" collapsed="false">
      <c r="A50" s="9" t="str">
        <f aca="false">Legacy_Employees!A50</f>
        <v>E1046</v>
      </c>
      <c r="B50" s="9" t="str">
        <f aca="false">Legacy_Employees!C50</f>
        <v>QLD</v>
      </c>
      <c r="C50" s="23" t="str">
        <f aca="false">IF(ISNUMBER(MATCH($A50,WFM_Import!$A$5:$A$63,0)),"Yes","No")</f>
        <v>Yes</v>
      </c>
      <c r="D50" s="23" t="str">
        <f aca="false">IF($C50="No","n/a",IF(ROUND(INDEX(WFM_Import!$G$5:$G$63,MATCH($A50,WFM_Import!$A$5:$A$63,0))-Legacy_Employees!G50,2)=0,"OK","Mismatch"))</f>
        <v>OK</v>
      </c>
      <c r="E50" s="23" t="str">
        <f aca="false">IF($C50="No","n/a",IF(INDEX(WFM_Import!$E$5:$E$63,MATCH($A50,WFM_Import!$A$5:$A$63,0))=Legacy_Employees!E50,"OK","Mismatch"))</f>
        <v>OK</v>
      </c>
      <c r="F50" s="23" t="str">
        <f aca="false">IF($C50="No","n/a",IF(INDEX(WFM_Import!$C$5:$C$63,MATCH($A50,WFM_Import!$A$5:$A$63,0))=Legacy_Employees!C50,"OK","Mismatch"))</f>
        <v>OK</v>
      </c>
      <c r="G50" s="23" t="str">
        <f aca="false">IF($C50="No","n/a",IF(INDEX(WFM_Import!$F$5:$F$63,MATCH($A50,WFM_Import!$A$5:$A$63,0))=Legacy_Employees!F50,"OK","Mismatch"))</f>
        <v>OK</v>
      </c>
      <c r="H50" s="23" t="str">
        <f aca="false">IF($C50="No","Missing",IF(COUNTIF(D50:G50,"OK")=4,"Match","Mismatch"))</f>
        <v>Match</v>
      </c>
    </row>
    <row r="51" customFormat="false" ht="15" hidden="false" customHeight="false" outlineLevel="0" collapsed="false">
      <c r="A51" s="9" t="str">
        <f aca="false">Legacy_Employees!A51</f>
        <v>E1047</v>
      </c>
      <c r="B51" s="9" t="str">
        <f aca="false">Legacy_Employees!C51</f>
        <v>QLD</v>
      </c>
      <c r="C51" s="23" t="str">
        <f aca="false">IF(ISNUMBER(MATCH($A51,WFM_Import!$A$5:$A$63,0)),"Yes","No")</f>
        <v>Yes</v>
      </c>
      <c r="D51" s="23" t="str">
        <f aca="false">IF($C51="No","n/a",IF(ROUND(INDEX(WFM_Import!$G$5:$G$63,MATCH($A51,WFM_Import!$A$5:$A$63,0))-Legacy_Employees!G51,2)=0,"OK","Mismatch"))</f>
        <v>OK</v>
      </c>
      <c r="E51" s="23" t="str">
        <f aca="false">IF($C51="No","n/a",IF(INDEX(WFM_Import!$E$5:$E$63,MATCH($A51,WFM_Import!$A$5:$A$63,0))=Legacy_Employees!E51,"OK","Mismatch"))</f>
        <v>OK</v>
      </c>
      <c r="F51" s="23" t="str">
        <f aca="false">IF($C51="No","n/a",IF(INDEX(WFM_Import!$C$5:$C$63,MATCH($A51,WFM_Import!$A$5:$A$63,0))=Legacy_Employees!C51,"OK","Mismatch"))</f>
        <v>OK</v>
      </c>
      <c r="G51" s="23" t="str">
        <f aca="false">IF($C51="No","n/a",IF(INDEX(WFM_Import!$F$5:$F$63,MATCH($A51,WFM_Import!$A$5:$A$63,0))=Legacy_Employees!F51,"OK","Mismatch"))</f>
        <v>OK</v>
      </c>
      <c r="H51" s="23" t="str">
        <f aca="false">IF($C51="No","Missing",IF(COUNTIF(D51:G51,"OK")=4,"Match","Mismatch"))</f>
        <v>Match</v>
      </c>
    </row>
    <row r="52" customFormat="false" ht="15" hidden="false" customHeight="false" outlineLevel="0" collapsed="false">
      <c r="A52" s="9" t="str">
        <f aca="false">Legacy_Employees!A52</f>
        <v>E1048</v>
      </c>
      <c r="B52" s="9" t="str">
        <f aca="false">Legacy_Employees!C52</f>
        <v>VIC</v>
      </c>
      <c r="C52" s="23" t="str">
        <f aca="false">IF(ISNUMBER(MATCH($A52,WFM_Import!$A$5:$A$63,0)),"Yes","No")</f>
        <v>Yes</v>
      </c>
      <c r="D52" s="23" t="str">
        <f aca="false">IF($C52="No","n/a",IF(ROUND(INDEX(WFM_Import!$G$5:$G$63,MATCH($A52,WFM_Import!$A$5:$A$63,0))-Legacy_Employees!G52,2)=0,"OK","Mismatch"))</f>
        <v>OK</v>
      </c>
      <c r="E52" s="23" t="str">
        <f aca="false">IF($C52="No","n/a",IF(INDEX(WFM_Import!$E$5:$E$63,MATCH($A52,WFM_Import!$A$5:$A$63,0))=Legacy_Employees!E52,"OK","Mismatch"))</f>
        <v>OK</v>
      </c>
      <c r="F52" s="23" t="str">
        <f aca="false">IF($C52="No","n/a",IF(INDEX(WFM_Import!$C$5:$C$63,MATCH($A52,WFM_Import!$A$5:$A$63,0))=Legacy_Employees!C52,"OK","Mismatch"))</f>
        <v>OK</v>
      </c>
      <c r="G52" s="23" t="str">
        <f aca="false">IF($C52="No","n/a",IF(INDEX(WFM_Import!$F$5:$F$63,MATCH($A52,WFM_Import!$A$5:$A$63,0))=Legacy_Employees!F52,"OK","Mismatch"))</f>
        <v>OK</v>
      </c>
      <c r="H52" s="23" t="str">
        <f aca="false">IF($C52="No","Missing",IF(COUNTIF(D52:G52,"OK")=4,"Match","Mismatch"))</f>
        <v>Match</v>
      </c>
    </row>
    <row r="53" customFormat="false" ht="15" hidden="false" customHeight="false" outlineLevel="0" collapsed="false">
      <c r="A53" s="9" t="str">
        <f aca="false">Legacy_Employees!A53</f>
        <v>E1049</v>
      </c>
      <c r="B53" s="9" t="str">
        <f aca="false">Legacy_Employees!C53</f>
        <v>VIC</v>
      </c>
      <c r="C53" s="23" t="str">
        <f aca="false">IF(ISNUMBER(MATCH($A53,WFM_Import!$A$5:$A$63,0)),"Yes","No")</f>
        <v>No</v>
      </c>
      <c r="D53" s="23" t="str">
        <f aca="false">IF($C53="No","n/a",IF(ROUND(INDEX(WFM_Import!$G$5:$G$63,MATCH($A53,WFM_Import!$A$5:$A$63,0))-Legacy_Employees!G53,2)=0,"OK","Mismatch"))</f>
        <v>n/a</v>
      </c>
      <c r="E53" s="23" t="str">
        <f aca="false">IF($C53="No","n/a",IF(INDEX(WFM_Import!$E$5:$E$63,MATCH($A53,WFM_Import!$A$5:$A$63,0))=Legacy_Employees!E53,"OK","Mismatch"))</f>
        <v>n/a</v>
      </c>
      <c r="F53" s="23" t="str">
        <f aca="false">IF($C53="No","n/a",IF(INDEX(WFM_Import!$C$5:$C$63,MATCH($A53,WFM_Import!$A$5:$A$63,0))=Legacy_Employees!C53,"OK","Mismatch"))</f>
        <v>n/a</v>
      </c>
      <c r="G53" s="23" t="str">
        <f aca="false">IF($C53="No","n/a",IF(INDEX(WFM_Import!$F$5:$F$63,MATCH($A53,WFM_Import!$A$5:$A$63,0))=Legacy_Employees!F53,"OK","Mismatch"))</f>
        <v>n/a</v>
      </c>
      <c r="H53" s="23" t="str">
        <f aca="false">IF($C53="No","Missing",IF(COUNTIF(D53:G53,"OK")=4,"Match","Mismatch"))</f>
        <v>Missing</v>
      </c>
    </row>
    <row r="54" customFormat="false" ht="15" hidden="false" customHeight="false" outlineLevel="0" collapsed="false">
      <c r="A54" s="9" t="str">
        <f aca="false">Legacy_Employees!A54</f>
        <v>E1050</v>
      </c>
      <c r="B54" s="9" t="str">
        <f aca="false">Legacy_Employees!C54</f>
        <v>VIC</v>
      </c>
      <c r="C54" s="23" t="str">
        <f aca="false">IF(ISNUMBER(MATCH($A54,WFM_Import!$A$5:$A$63,0)),"Yes","No")</f>
        <v>Yes</v>
      </c>
      <c r="D54" s="23" t="str">
        <f aca="false">IF($C54="No","n/a",IF(ROUND(INDEX(WFM_Import!$G$5:$G$63,MATCH($A54,WFM_Import!$A$5:$A$63,0))-Legacy_Employees!G54,2)=0,"OK","Mismatch"))</f>
        <v>OK</v>
      </c>
      <c r="E54" s="23" t="str">
        <f aca="false">IF($C54="No","n/a",IF(INDEX(WFM_Import!$E$5:$E$63,MATCH($A54,WFM_Import!$A$5:$A$63,0))=Legacy_Employees!E54,"OK","Mismatch"))</f>
        <v>OK</v>
      </c>
      <c r="F54" s="23" t="str">
        <f aca="false">IF($C54="No","n/a",IF(INDEX(WFM_Import!$C$5:$C$63,MATCH($A54,WFM_Import!$A$5:$A$63,0))=Legacy_Employees!C54,"OK","Mismatch"))</f>
        <v>OK</v>
      </c>
      <c r="G54" s="23" t="str">
        <f aca="false">IF($C54="No","n/a",IF(INDEX(WFM_Import!$F$5:$F$63,MATCH($A54,WFM_Import!$A$5:$A$63,0))=Legacy_Employees!F54,"OK","Mismatch"))</f>
        <v>OK</v>
      </c>
      <c r="H54" s="23" t="str">
        <f aca="false">IF($C54="No","Missing",IF(COUNTIF(D54:G54,"OK")=4,"Match","Mismatch"))</f>
        <v>Match</v>
      </c>
    </row>
    <row r="55" customFormat="false" ht="15" hidden="false" customHeight="false" outlineLevel="0" collapsed="false">
      <c r="A55" s="9" t="str">
        <f aca="false">Legacy_Employees!A55</f>
        <v>E1051</v>
      </c>
      <c r="B55" s="9" t="str">
        <f aca="false">Legacy_Employees!C55</f>
        <v>VIC</v>
      </c>
      <c r="C55" s="23" t="str">
        <f aca="false">IF(ISNUMBER(MATCH($A55,WFM_Import!$A$5:$A$63,0)),"Yes","No")</f>
        <v>Yes</v>
      </c>
      <c r="D55" s="23" t="str">
        <f aca="false">IF($C55="No","n/a",IF(ROUND(INDEX(WFM_Import!$G$5:$G$63,MATCH($A55,WFM_Import!$A$5:$A$63,0))-Legacy_Employees!G55,2)=0,"OK","Mismatch"))</f>
        <v>OK</v>
      </c>
      <c r="E55" s="23" t="str">
        <f aca="false">IF($C55="No","n/a",IF(INDEX(WFM_Import!$E$5:$E$63,MATCH($A55,WFM_Import!$A$5:$A$63,0))=Legacy_Employees!E55,"OK","Mismatch"))</f>
        <v>OK</v>
      </c>
      <c r="F55" s="23" t="str">
        <f aca="false">IF($C55="No","n/a",IF(INDEX(WFM_Import!$C$5:$C$63,MATCH($A55,WFM_Import!$A$5:$A$63,0))=Legacy_Employees!C55,"OK","Mismatch"))</f>
        <v>OK</v>
      </c>
      <c r="G55" s="23" t="str">
        <f aca="false">IF($C55="No","n/a",IF(INDEX(WFM_Import!$F$5:$F$63,MATCH($A55,WFM_Import!$A$5:$A$63,0))=Legacy_Employees!F55,"OK","Mismatch"))</f>
        <v>OK</v>
      </c>
      <c r="H55" s="23" t="str">
        <f aca="false">IF($C55="No","Missing",IF(COUNTIF(D55:G55,"OK")=4,"Match","Mismatch"))</f>
        <v>Match</v>
      </c>
    </row>
    <row r="56" customFormat="false" ht="15" hidden="false" customHeight="false" outlineLevel="0" collapsed="false">
      <c r="A56" s="9" t="str">
        <f aca="false">Legacy_Employees!A56</f>
        <v>E1052</v>
      </c>
      <c r="B56" s="9" t="str">
        <f aca="false">Legacy_Employees!C56</f>
        <v>NSW</v>
      </c>
      <c r="C56" s="23" t="str">
        <f aca="false">IF(ISNUMBER(MATCH($A56,WFM_Import!$A$5:$A$63,0)),"Yes","No")</f>
        <v>Yes</v>
      </c>
      <c r="D56" s="23" t="str">
        <f aca="false">IF($C56="No","n/a",IF(ROUND(INDEX(WFM_Import!$G$5:$G$63,MATCH($A56,WFM_Import!$A$5:$A$63,0))-Legacy_Employees!G56,2)=0,"OK","Mismatch"))</f>
        <v>OK</v>
      </c>
      <c r="E56" s="23" t="str">
        <f aca="false">IF($C56="No","n/a",IF(INDEX(WFM_Import!$E$5:$E$63,MATCH($A56,WFM_Import!$A$5:$A$63,0))=Legacy_Employees!E56,"OK","Mismatch"))</f>
        <v>OK</v>
      </c>
      <c r="F56" s="23" t="str">
        <f aca="false">IF($C56="No","n/a",IF(INDEX(WFM_Import!$C$5:$C$63,MATCH($A56,WFM_Import!$A$5:$A$63,0))=Legacy_Employees!C56,"OK","Mismatch"))</f>
        <v>OK</v>
      </c>
      <c r="G56" s="23" t="str">
        <f aca="false">IF($C56="No","n/a",IF(INDEX(WFM_Import!$F$5:$F$63,MATCH($A56,WFM_Import!$A$5:$A$63,0))=Legacy_Employees!F56,"OK","Mismatch"))</f>
        <v>OK</v>
      </c>
      <c r="H56" s="23" t="str">
        <f aca="false">IF($C56="No","Missing",IF(COUNTIF(D56:G56,"OK")=4,"Match","Mismatch"))</f>
        <v>Match</v>
      </c>
    </row>
    <row r="57" customFormat="false" ht="15" hidden="false" customHeight="false" outlineLevel="0" collapsed="false">
      <c r="A57" s="9" t="str">
        <f aca="false">Legacy_Employees!A57</f>
        <v>E1053</v>
      </c>
      <c r="B57" s="9" t="str">
        <f aca="false">Legacy_Employees!C57</f>
        <v>VIC</v>
      </c>
      <c r="C57" s="23" t="str">
        <f aca="false">IF(ISNUMBER(MATCH($A57,WFM_Import!$A$5:$A$63,0)),"Yes","No")</f>
        <v>Yes</v>
      </c>
      <c r="D57" s="23" t="str">
        <f aca="false">IF($C57="No","n/a",IF(ROUND(INDEX(WFM_Import!$G$5:$G$63,MATCH($A57,WFM_Import!$A$5:$A$63,0))-Legacy_Employees!G57,2)=0,"OK","Mismatch"))</f>
        <v>Mismatch</v>
      </c>
      <c r="E57" s="23" t="str">
        <f aca="false">IF($C57="No","n/a",IF(INDEX(WFM_Import!$E$5:$E$63,MATCH($A57,WFM_Import!$A$5:$A$63,0))=Legacy_Employees!E57,"OK","Mismatch"))</f>
        <v>OK</v>
      </c>
      <c r="F57" s="23" t="str">
        <f aca="false">IF($C57="No","n/a",IF(INDEX(WFM_Import!$C$5:$C$63,MATCH($A57,WFM_Import!$A$5:$A$63,0))=Legacy_Employees!C57,"OK","Mismatch"))</f>
        <v>OK</v>
      </c>
      <c r="G57" s="23" t="str">
        <f aca="false">IF($C57="No","n/a",IF(INDEX(WFM_Import!$F$5:$F$63,MATCH($A57,WFM_Import!$A$5:$A$63,0))=Legacy_Employees!F57,"OK","Mismatch"))</f>
        <v>OK</v>
      </c>
      <c r="H57" s="23" t="str">
        <f aca="false">IF($C57="No","Missing",IF(COUNTIF(D57:G57,"OK")=4,"Match","Mismatch"))</f>
        <v>Mismatch</v>
      </c>
    </row>
    <row r="58" customFormat="false" ht="15" hidden="false" customHeight="false" outlineLevel="0" collapsed="false">
      <c r="A58" s="9" t="str">
        <f aca="false">Legacy_Employees!A58</f>
        <v>E1054</v>
      </c>
      <c r="B58" s="9" t="str">
        <f aca="false">Legacy_Employees!C58</f>
        <v>QLD</v>
      </c>
      <c r="C58" s="23" t="str">
        <f aca="false">IF(ISNUMBER(MATCH($A58,WFM_Import!$A$5:$A$63,0)),"Yes","No")</f>
        <v>Yes</v>
      </c>
      <c r="D58" s="23" t="str">
        <f aca="false">IF($C58="No","n/a",IF(ROUND(INDEX(WFM_Import!$G$5:$G$63,MATCH($A58,WFM_Import!$A$5:$A$63,0))-Legacy_Employees!G58,2)=0,"OK","Mismatch"))</f>
        <v>OK</v>
      </c>
      <c r="E58" s="23" t="str">
        <f aca="false">IF($C58="No","n/a",IF(INDEX(WFM_Import!$E$5:$E$63,MATCH($A58,WFM_Import!$A$5:$A$63,0))=Legacy_Employees!E58,"OK","Mismatch"))</f>
        <v>OK</v>
      </c>
      <c r="F58" s="23" t="str">
        <f aca="false">IF($C58="No","n/a",IF(INDEX(WFM_Import!$C$5:$C$63,MATCH($A58,WFM_Import!$A$5:$A$63,0))=Legacy_Employees!C58,"OK","Mismatch"))</f>
        <v>OK</v>
      </c>
      <c r="G58" s="23" t="str">
        <f aca="false">IF($C58="No","n/a",IF(INDEX(WFM_Import!$F$5:$F$63,MATCH($A58,WFM_Import!$A$5:$A$63,0))=Legacy_Employees!F58,"OK","Mismatch"))</f>
        <v>OK</v>
      </c>
      <c r="H58" s="23" t="str">
        <f aca="false">IF($C58="No","Missing",IF(COUNTIF(D58:G58,"OK")=4,"Match","Mismatch"))</f>
        <v>Match</v>
      </c>
    </row>
    <row r="59" customFormat="false" ht="15" hidden="false" customHeight="false" outlineLevel="0" collapsed="false">
      <c r="A59" s="9" t="str">
        <f aca="false">Legacy_Employees!A59</f>
        <v>E1055</v>
      </c>
      <c r="B59" s="9" t="str">
        <f aca="false">Legacy_Employees!C59</f>
        <v>NZ</v>
      </c>
      <c r="C59" s="23" t="str">
        <f aca="false">IF(ISNUMBER(MATCH($A59,WFM_Import!$A$5:$A$63,0)),"Yes","No")</f>
        <v>Yes</v>
      </c>
      <c r="D59" s="23" t="str">
        <f aca="false">IF($C59="No","n/a",IF(ROUND(INDEX(WFM_Import!$G$5:$G$63,MATCH($A59,WFM_Import!$A$5:$A$63,0))-Legacy_Employees!G59,2)=0,"OK","Mismatch"))</f>
        <v>OK</v>
      </c>
      <c r="E59" s="23" t="str">
        <f aca="false">IF($C59="No","n/a",IF(INDEX(WFM_Import!$E$5:$E$63,MATCH($A59,WFM_Import!$A$5:$A$63,0))=Legacy_Employees!E59,"OK","Mismatch"))</f>
        <v>OK</v>
      </c>
      <c r="F59" s="23" t="str">
        <f aca="false">IF($C59="No","n/a",IF(INDEX(WFM_Import!$C$5:$C$63,MATCH($A59,WFM_Import!$A$5:$A$63,0))=Legacy_Employees!C59,"OK","Mismatch"))</f>
        <v>OK</v>
      </c>
      <c r="G59" s="23" t="str">
        <f aca="false">IF($C59="No","n/a",IF(INDEX(WFM_Import!$F$5:$F$63,MATCH($A59,WFM_Import!$A$5:$A$63,0))=Legacy_Employees!F59,"OK","Mismatch"))</f>
        <v>OK</v>
      </c>
      <c r="H59" s="23" t="str">
        <f aca="false">IF($C59="No","Missing",IF(COUNTIF(D59:G59,"OK")=4,"Match","Mismatch"))</f>
        <v>Match</v>
      </c>
    </row>
    <row r="60" customFormat="false" ht="15" hidden="false" customHeight="false" outlineLevel="0" collapsed="false">
      <c r="A60" s="9" t="str">
        <f aca="false">Legacy_Employees!A60</f>
        <v>E1056</v>
      </c>
      <c r="B60" s="9" t="str">
        <f aca="false">Legacy_Employees!C60</f>
        <v>NSW</v>
      </c>
      <c r="C60" s="23" t="str">
        <f aca="false">IF(ISNUMBER(MATCH($A60,WFM_Import!$A$5:$A$63,0)),"Yes","No")</f>
        <v>Yes</v>
      </c>
      <c r="D60" s="23" t="str">
        <f aca="false">IF($C60="No","n/a",IF(ROUND(INDEX(WFM_Import!$G$5:$G$63,MATCH($A60,WFM_Import!$A$5:$A$63,0))-Legacy_Employees!G60,2)=0,"OK","Mismatch"))</f>
        <v>OK</v>
      </c>
      <c r="E60" s="23" t="str">
        <f aca="false">IF($C60="No","n/a",IF(INDEX(WFM_Import!$E$5:$E$63,MATCH($A60,WFM_Import!$A$5:$A$63,0))=Legacy_Employees!E60,"OK","Mismatch"))</f>
        <v>OK</v>
      </c>
      <c r="F60" s="23" t="str">
        <f aca="false">IF($C60="No","n/a",IF(INDEX(WFM_Import!$C$5:$C$63,MATCH($A60,WFM_Import!$A$5:$A$63,0))=Legacy_Employees!C60,"OK","Mismatch"))</f>
        <v>Mismatch</v>
      </c>
      <c r="G60" s="23" t="str">
        <f aca="false">IF($C60="No","n/a",IF(INDEX(WFM_Import!$F$5:$F$63,MATCH($A60,WFM_Import!$A$5:$A$63,0))=Legacy_Employees!F60,"OK","Mismatch"))</f>
        <v>OK</v>
      </c>
      <c r="H60" s="23" t="str">
        <f aca="false">IF($C60="No","Missing",IF(COUNTIF(D60:G60,"OK")=4,"Match","Mismatch"))</f>
        <v>Mismatch</v>
      </c>
    </row>
    <row r="61" customFormat="false" ht="15" hidden="false" customHeight="false" outlineLevel="0" collapsed="false">
      <c r="A61" s="9" t="str">
        <f aca="false">Legacy_Employees!A61</f>
        <v>E1057</v>
      </c>
      <c r="B61" s="9" t="str">
        <f aca="false">Legacy_Employees!C61</f>
        <v>NSW</v>
      </c>
      <c r="C61" s="23" t="str">
        <f aca="false">IF(ISNUMBER(MATCH($A61,WFM_Import!$A$5:$A$63,0)),"Yes","No")</f>
        <v>Yes</v>
      </c>
      <c r="D61" s="23" t="str">
        <f aca="false">IF($C61="No","n/a",IF(ROUND(INDEX(WFM_Import!$G$5:$G$63,MATCH($A61,WFM_Import!$A$5:$A$63,0))-Legacy_Employees!G61,2)=0,"OK","Mismatch"))</f>
        <v>OK</v>
      </c>
      <c r="E61" s="23" t="str">
        <f aca="false">IF($C61="No","n/a",IF(INDEX(WFM_Import!$E$5:$E$63,MATCH($A61,WFM_Import!$A$5:$A$63,0))=Legacy_Employees!E61,"OK","Mismatch"))</f>
        <v>OK</v>
      </c>
      <c r="F61" s="23" t="str">
        <f aca="false">IF($C61="No","n/a",IF(INDEX(WFM_Import!$C$5:$C$63,MATCH($A61,WFM_Import!$A$5:$A$63,0))=Legacy_Employees!C61,"OK","Mismatch"))</f>
        <v>OK</v>
      </c>
      <c r="G61" s="23" t="str">
        <f aca="false">IF($C61="No","n/a",IF(INDEX(WFM_Import!$F$5:$F$63,MATCH($A61,WFM_Import!$A$5:$A$63,0))=Legacy_Employees!F61,"OK","Mismatch"))</f>
        <v>OK</v>
      </c>
      <c r="H61" s="23" t="str">
        <f aca="false">IF($C61="No","Missing",IF(COUNTIF(D61:G61,"OK")=4,"Match","Mismatch"))</f>
        <v>Match</v>
      </c>
    </row>
    <row r="62" customFormat="false" ht="15" hidden="false" customHeight="false" outlineLevel="0" collapsed="false">
      <c r="A62" s="9" t="str">
        <f aca="false">Legacy_Employees!A62</f>
        <v>E1058</v>
      </c>
      <c r="B62" s="9" t="str">
        <f aca="false">Legacy_Employees!C62</f>
        <v>VIC</v>
      </c>
      <c r="C62" s="23" t="str">
        <f aca="false">IF(ISNUMBER(MATCH($A62,WFM_Import!$A$5:$A$63,0)),"Yes","No")</f>
        <v>Yes</v>
      </c>
      <c r="D62" s="23" t="str">
        <f aca="false">IF($C62="No","n/a",IF(ROUND(INDEX(WFM_Import!$G$5:$G$63,MATCH($A62,WFM_Import!$A$5:$A$63,0))-Legacy_Employees!G62,2)=0,"OK","Mismatch"))</f>
        <v>OK</v>
      </c>
      <c r="E62" s="23" t="str">
        <f aca="false">IF($C62="No","n/a",IF(INDEX(WFM_Import!$E$5:$E$63,MATCH($A62,WFM_Import!$A$5:$A$63,0))=Legacy_Employees!E62,"OK","Mismatch"))</f>
        <v>OK</v>
      </c>
      <c r="F62" s="23" t="str">
        <f aca="false">IF($C62="No","n/a",IF(INDEX(WFM_Import!$C$5:$C$63,MATCH($A62,WFM_Import!$A$5:$A$63,0))=Legacy_Employees!C62,"OK","Mismatch"))</f>
        <v>OK</v>
      </c>
      <c r="G62" s="23" t="str">
        <f aca="false">IF($C62="No","n/a",IF(INDEX(WFM_Import!$F$5:$F$63,MATCH($A62,WFM_Import!$A$5:$A$63,0))=Legacy_Employees!F62,"OK","Mismatch"))</f>
        <v>OK</v>
      </c>
      <c r="H62" s="23" t="str">
        <f aca="false">IF($C62="No","Missing",IF(COUNTIF(D62:G62,"OK")=4,"Match","Mismatch"))</f>
        <v>Match</v>
      </c>
    </row>
    <row r="63" customFormat="false" ht="15" hidden="false" customHeight="false" outlineLevel="0" collapsed="false">
      <c r="A63" s="9" t="str">
        <f aca="false">Legacy_Employees!A63</f>
        <v>E1059</v>
      </c>
      <c r="B63" s="9" t="str">
        <f aca="false">Legacy_Employees!C63</f>
        <v>QLD</v>
      </c>
      <c r="C63" s="23" t="str">
        <f aca="false">IF(ISNUMBER(MATCH($A63,WFM_Import!$A$5:$A$63,0)),"Yes","No")</f>
        <v>Yes</v>
      </c>
      <c r="D63" s="23" t="str">
        <f aca="false">IF($C63="No","n/a",IF(ROUND(INDEX(WFM_Import!$G$5:$G$63,MATCH($A63,WFM_Import!$A$5:$A$63,0))-Legacy_Employees!G63,2)=0,"OK","Mismatch"))</f>
        <v>OK</v>
      </c>
      <c r="E63" s="23" t="str">
        <f aca="false">IF($C63="No","n/a",IF(INDEX(WFM_Import!$E$5:$E$63,MATCH($A63,WFM_Import!$A$5:$A$63,0))=Legacy_Employees!E63,"OK","Mismatch"))</f>
        <v>OK</v>
      </c>
      <c r="F63" s="23" t="str">
        <f aca="false">IF($C63="No","n/a",IF(INDEX(WFM_Import!$C$5:$C$63,MATCH($A63,WFM_Import!$A$5:$A$63,0))=Legacy_Employees!C63,"OK","Mismatch"))</f>
        <v>OK</v>
      </c>
      <c r="G63" s="23" t="str">
        <f aca="false">IF($C63="No","n/a",IF(INDEX(WFM_Import!$F$5:$F$63,MATCH($A63,WFM_Import!$A$5:$A$63,0))=Legacy_Employees!F63,"OK","Mismatch"))</f>
        <v>OK</v>
      </c>
      <c r="H63" s="23" t="str">
        <f aca="false">IF($C63="No","Missing",IF(COUNTIF(D63:G63,"OK")=4,"Match","Mismatch"))</f>
        <v>Match</v>
      </c>
    </row>
    <row r="64" customFormat="false" ht="15" hidden="false" customHeight="false" outlineLevel="0" collapsed="false">
      <c r="A64" s="9" t="str">
        <f aca="false">Legacy_Employees!A64</f>
        <v>E1060</v>
      </c>
      <c r="B64" s="9" t="str">
        <f aca="false">Legacy_Employees!C64</f>
        <v>NZ</v>
      </c>
      <c r="C64" s="23" t="str">
        <f aca="false">IF(ISNUMBER(MATCH($A64,WFM_Import!$A$5:$A$63,0)),"Yes","No")</f>
        <v>Yes</v>
      </c>
      <c r="D64" s="23" t="str">
        <f aca="false">IF($C64="No","n/a",IF(ROUND(INDEX(WFM_Import!$G$5:$G$63,MATCH($A64,WFM_Import!$A$5:$A$63,0))-Legacy_Employees!G64,2)=0,"OK","Mismatch"))</f>
        <v>OK</v>
      </c>
      <c r="E64" s="23" t="str">
        <f aca="false">IF($C64="No","n/a",IF(INDEX(WFM_Import!$E$5:$E$63,MATCH($A64,WFM_Import!$A$5:$A$63,0))=Legacy_Employees!E64,"OK","Mismatch"))</f>
        <v>OK</v>
      </c>
      <c r="F64" s="23" t="str">
        <f aca="false">IF($C64="No","n/a",IF(INDEX(WFM_Import!$C$5:$C$63,MATCH($A64,WFM_Import!$A$5:$A$63,0))=Legacy_Employees!C64,"OK","Mismatch"))</f>
        <v>OK</v>
      </c>
      <c r="G64" s="23" t="str">
        <f aca="false">IF($C64="No","n/a",IF(INDEX(WFM_Import!$F$5:$F$63,MATCH($A64,WFM_Import!$A$5:$A$63,0))=Legacy_Employees!F64,"OK","Mismatch"))</f>
        <v>OK</v>
      </c>
      <c r="H64" s="23" t="str">
        <f aca="false">IF($C64="No","Missing",IF(COUNTIF(D64:G64,"OK")=4,"Match","Mismatch"))</f>
        <v>Match</v>
      </c>
    </row>
    <row r="65" customFormat="false" ht="15" hidden="false" customHeight="false" outlineLevel="0" collapsed="false">
      <c r="A65" s="9" t="str">
        <f aca="false">Legacy_Employees!A65</f>
        <v>E1007</v>
      </c>
      <c r="B65" s="9" t="str">
        <f aca="false">Legacy_Employees!C65</f>
        <v>VIC</v>
      </c>
      <c r="C65" s="23" t="str">
        <f aca="false">IF(ISNUMBER(MATCH($A65,WFM_Import!$A$5:$A$63,0)),"Yes","No")</f>
        <v>Yes</v>
      </c>
      <c r="D65" s="23" t="str">
        <f aca="false">IF($C65="No","n/a",IF(ROUND(INDEX(WFM_Import!$G$5:$G$63,MATCH($A65,WFM_Import!$A$5:$A$63,0))-Legacy_Employees!G65,2)=0,"OK","Mismatch"))</f>
        <v>OK</v>
      </c>
      <c r="E65" s="23" t="str">
        <f aca="false">IF($C65="No","n/a",IF(INDEX(WFM_Import!$E$5:$E$63,MATCH($A65,WFM_Import!$A$5:$A$63,0))=Legacy_Employees!E65,"OK","Mismatch"))</f>
        <v>OK</v>
      </c>
      <c r="F65" s="23" t="str">
        <f aca="false">IF($C65="No","n/a",IF(INDEX(WFM_Import!$C$5:$C$63,MATCH($A65,WFM_Import!$A$5:$A$63,0))=Legacy_Employees!C65,"OK","Mismatch"))</f>
        <v>OK</v>
      </c>
      <c r="G65" s="23" t="str">
        <f aca="false">IF($C65="No","n/a",IF(INDEX(WFM_Import!$F$5:$F$63,MATCH($A65,WFM_Import!$A$5:$A$63,0))=Legacy_Employees!F65,"OK","Mismatch"))</f>
        <v>OK</v>
      </c>
      <c r="H65" s="23" t="str">
        <f aca="false">IF($C65="No","Missing",IF(COUNTIF(D65:G65,"OK")=4,"Match","Mismatch"))</f>
        <v>Match</v>
      </c>
    </row>
    <row r="66" customFormat="false" ht="15" hidden="false" customHeight="false" outlineLevel="0" collapsed="false">
      <c r="A66" s="9" t="str">
        <f aca="false">Legacy_Employees!A66</f>
        <v>E1023</v>
      </c>
      <c r="B66" s="9" t="str">
        <f aca="false">Legacy_Employees!C66</f>
        <v>QLD</v>
      </c>
      <c r="C66" s="23" t="str">
        <f aca="false">IF(ISNUMBER(MATCH($A66,WFM_Import!$A$5:$A$63,0)),"Yes","No")</f>
        <v>Yes</v>
      </c>
      <c r="D66" s="23" t="str">
        <f aca="false">IF($C66="No","n/a",IF(ROUND(INDEX(WFM_Import!$G$5:$G$63,MATCH($A66,WFM_Import!$A$5:$A$63,0))-Legacy_Employees!G66,2)=0,"OK","Mismatch"))</f>
        <v>OK</v>
      </c>
      <c r="E66" s="23" t="str">
        <f aca="false">IF($C66="No","n/a",IF(INDEX(WFM_Import!$E$5:$E$63,MATCH($A66,WFM_Import!$A$5:$A$63,0))=Legacy_Employees!E66,"OK","Mismatch"))</f>
        <v>OK</v>
      </c>
      <c r="F66" s="23" t="str">
        <f aca="false">IF($C66="No","n/a",IF(INDEX(WFM_Import!$C$5:$C$63,MATCH($A66,WFM_Import!$A$5:$A$63,0))=Legacy_Employees!C66,"OK","Mismatch"))</f>
        <v>OK</v>
      </c>
      <c r="G66" s="23" t="str">
        <f aca="false">IF($C66="No","n/a",IF(INDEX(WFM_Import!$F$5:$F$63,MATCH($A66,WFM_Import!$A$5:$A$63,0))=Legacy_Employees!F66,"OK","Mismatch"))</f>
        <v>OK</v>
      </c>
      <c r="H66" s="23" t="str">
        <f aca="false">IF($C66="No","Missing",IF(COUNTIF(D66:G66,"OK")=4,"Match","Mismatch"))</f>
        <v>Match</v>
      </c>
    </row>
  </sheetData>
  <conditionalFormatting sqref="C5:H66">
    <cfRule type="expression" priority="2" aboveAverage="0" equalAverage="0" bottom="0" percent="0" rank="0" text="" dxfId="0">
      <formula>C5="OK"</formula>
    </cfRule>
    <cfRule type="expression" priority="3" aboveAverage="0" equalAverage="0" bottom="0" percent="0" rank="0" text="" dxfId="0">
      <formula>C5="Match"</formula>
    </cfRule>
    <cfRule type="expression" priority="4" aboveAverage="0" equalAverage="0" bottom="0" percent="0" rank="0" text="" dxfId="0">
      <formula>C5="Yes"</formula>
    </cfRule>
    <cfRule type="expression" priority="5" aboveAverage="0" equalAverage="0" bottom="0" percent="0" rank="0" text="" dxfId="1">
      <formula>C5="Mismatch"</formula>
    </cfRule>
    <cfRule type="expression" priority="6" aboveAverage="0" equalAverage="0" bottom="0" percent="0" rank="0" text="" dxfId="1">
      <formula>C5="Missing"</formula>
    </cfRule>
    <cfRule type="expression" priority="7" aboveAverage="0" equalAverage="0" bottom="0" percent="0" rank="0" text="" dxfId="1">
      <formula>C5="No"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38"/>
    <col collapsed="false" customWidth="true" hidden="false" outlineLevel="0" max="7" min="6" style="0" width="12"/>
  </cols>
  <sheetData>
    <row r="1" customFormat="false" ht="19.7" hidden="false" customHeight="false" outlineLevel="0" collapsed="false">
      <c r="A1" s="1" t="s">
        <v>408</v>
      </c>
    </row>
    <row r="2" customFormat="false" ht="15" hidden="false" customHeight="false" outlineLevel="0" collapsed="false">
      <c r="A2" s="2" t="s">
        <v>409</v>
      </c>
    </row>
    <row r="4" customFormat="false" ht="15" hidden="false" customHeight="false" outlineLevel="0" collapsed="false">
      <c r="A4" s="14" t="s">
        <v>410</v>
      </c>
      <c r="B4" s="14" t="s">
        <v>133</v>
      </c>
      <c r="C4" s="14" t="s">
        <v>2</v>
      </c>
      <c r="D4" s="14" t="s">
        <v>411</v>
      </c>
      <c r="E4" s="14" t="s">
        <v>412</v>
      </c>
      <c r="F4" s="14" t="s">
        <v>65</v>
      </c>
      <c r="G4" s="14" t="s">
        <v>413</v>
      </c>
    </row>
    <row r="5" customFormat="false" ht="15" hidden="false" customHeight="false" outlineLevel="0" collapsed="false">
      <c r="A5" s="15" t="s">
        <v>414</v>
      </c>
      <c r="B5" s="15" t="s">
        <v>66</v>
      </c>
      <c r="C5" s="15" t="s">
        <v>415</v>
      </c>
      <c r="D5" s="15" t="s">
        <v>416</v>
      </c>
      <c r="E5" s="15" t="s">
        <v>417</v>
      </c>
      <c r="F5" s="15" t="s">
        <v>46</v>
      </c>
      <c r="G5" s="15"/>
    </row>
    <row r="6" customFormat="false" ht="15" hidden="false" customHeight="false" outlineLevel="0" collapsed="false">
      <c r="A6" s="15" t="s">
        <v>418</v>
      </c>
      <c r="B6" s="15" t="s">
        <v>66</v>
      </c>
      <c r="C6" s="15" t="s">
        <v>419</v>
      </c>
      <c r="D6" s="15" t="s">
        <v>420</v>
      </c>
      <c r="E6" s="15" t="s">
        <v>421</v>
      </c>
      <c r="F6" s="15" t="s">
        <v>46</v>
      </c>
      <c r="G6" s="15"/>
    </row>
    <row r="7" customFormat="false" ht="15" hidden="false" customHeight="false" outlineLevel="0" collapsed="false">
      <c r="A7" s="15" t="s">
        <v>422</v>
      </c>
      <c r="B7" s="15" t="s">
        <v>73</v>
      </c>
      <c r="C7" s="15" t="s">
        <v>423</v>
      </c>
      <c r="D7" s="15" t="s">
        <v>424</v>
      </c>
      <c r="E7" s="15" t="s">
        <v>425</v>
      </c>
      <c r="F7" s="15" t="s">
        <v>46</v>
      </c>
      <c r="G7" s="15"/>
    </row>
    <row r="8" customFormat="false" ht="23.85" hidden="false" customHeight="false" outlineLevel="0" collapsed="false">
      <c r="A8" s="15" t="s">
        <v>426</v>
      </c>
      <c r="B8" s="15" t="s">
        <v>77</v>
      </c>
      <c r="C8" s="15" t="s">
        <v>427</v>
      </c>
      <c r="D8" s="15" t="s">
        <v>428</v>
      </c>
      <c r="E8" s="15" t="s">
        <v>429</v>
      </c>
      <c r="F8" s="15" t="s">
        <v>46</v>
      </c>
      <c r="G8" s="15"/>
    </row>
    <row r="9" customFormat="false" ht="15" hidden="false" customHeight="false" outlineLevel="0" collapsed="false">
      <c r="A9" s="15" t="s">
        <v>430</v>
      </c>
      <c r="B9" s="15" t="s">
        <v>77</v>
      </c>
      <c r="C9" s="15" t="s">
        <v>431</v>
      </c>
      <c r="D9" s="15" t="s">
        <v>432</v>
      </c>
      <c r="E9" s="15" t="s">
        <v>433</v>
      </c>
      <c r="F9" s="15" t="s">
        <v>47</v>
      </c>
      <c r="G9" s="15" t="s">
        <v>434</v>
      </c>
    </row>
    <row r="10" customFormat="false" ht="15" hidden="false" customHeight="false" outlineLevel="0" collapsed="false">
      <c r="A10" s="15" t="s">
        <v>435</v>
      </c>
      <c r="B10" s="15" t="s">
        <v>81</v>
      </c>
      <c r="C10" s="15" t="s">
        <v>436</v>
      </c>
      <c r="D10" s="15" t="s">
        <v>437</v>
      </c>
      <c r="E10" s="15" t="s">
        <v>438</v>
      </c>
      <c r="F10" s="15" t="s">
        <v>46</v>
      </c>
      <c r="G10" s="15"/>
    </row>
    <row r="11" customFormat="false" ht="15" hidden="false" customHeight="false" outlineLevel="0" collapsed="false">
      <c r="A11" s="15" t="s">
        <v>439</v>
      </c>
      <c r="B11" s="15" t="s">
        <v>86</v>
      </c>
      <c r="C11" s="15" t="s">
        <v>440</v>
      </c>
      <c r="D11" s="15" t="s">
        <v>441</v>
      </c>
      <c r="E11" s="15" t="s">
        <v>442</v>
      </c>
      <c r="F11" s="15" t="s">
        <v>46</v>
      </c>
      <c r="G11" s="15"/>
    </row>
    <row r="12" customFormat="false" ht="15" hidden="false" customHeight="false" outlineLevel="0" collapsed="false">
      <c r="A12" s="15" t="s">
        <v>443</v>
      </c>
      <c r="B12" s="15" t="s">
        <v>86</v>
      </c>
      <c r="C12" s="15" t="s">
        <v>444</v>
      </c>
      <c r="D12" s="15" t="s">
        <v>445</v>
      </c>
      <c r="E12" s="15" t="s">
        <v>446</v>
      </c>
      <c r="F12" s="15" t="s">
        <v>48</v>
      </c>
      <c r="G12" s="15" t="s">
        <v>447</v>
      </c>
    </row>
    <row r="13" customFormat="false" ht="15" hidden="false" customHeight="false" outlineLevel="0" collapsed="false">
      <c r="A13" s="15" t="s">
        <v>448</v>
      </c>
      <c r="B13" s="15" t="s">
        <v>89</v>
      </c>
      <c r="C13" s="15" t="s">
        <v>449</v>
      </c>
      <c r="D13" s="15" t="s">
        <v>450</v>
      </c>
      <c r="E13" s="15" t="s">
        <v>451</v>
      </c>
      <c r="F13" s="15" t="s">
        <v>47</v>
      </c>
      <c r="G13" s="15" t="s">
        <v>452</v>
      </c>
    </row>
    <row r="14" customFormat="false" ht="15" hidden="false" customHeight="false" outlineLevel="0" collapsed="false">
      <c r="A14" s="15" t="s">
        <v>453</v>
      </c>
      <c r="B14" s="15" t="s">
        <v>89</v>
      </c>
      <c r="C14" s="15" t="s">
        <v>454</v>
      </c>
      <c r="D14" s="15" t="s">
        <v>455</v>
      </c>
      <c r="E14" s="15" t="s">
        <v>456</v>
      </c>
      <c r="F14" s="15" t="s">
        <v>47</v>
      </c>
      <c r="G14" s="15" t="s">
        <v>457</v>
      </c>
    </row>
    <row r="15" customFormat="false" ht="15" hidden="false" customHeight="false" outlineLevel="0" collapsed="false">
      <c r="A15" s="15" t="s">
        <v>458</v>
      </c>
      <c r="B15" s="15" t="s">
        <v>93</v>
      </c>
      <c r="C15" s="15" t="s">
        <v>459</v>
      </c>
      <c r="D15" s="15" t="s">
        <v>460</v>
      </c>
      <c r="E15" s="15" t="s">
        <v>461</v>
      </c>
      <c r="F15" s="15" t="s">
        <v>46</v>
      </c>
      <c r="G15" s="15"/>
    </row>
    <row r="16" customFormat="false" ht="15" hidden="false" customHeight="false" outlineLevel="0" collapsed="false">
      <c r="A16" s="15" t="s">
        <v>462</v>
      </c>
      <c r="B16" s="15" t="s">
        <v>95</v>
      </c>
      <c r="C16" s="15" t="s">
        <v>463</v>
      </c>
      <c r="D16" s="15" t="s">
        <v>464</v>
      </c>
      <c r="E16" s="15" t="s">
        <v>465</v>
      </c>
      <c r="F16" s="15" t="s">
        <v>46</v>
      </c>
      <c r="G16" s="15"/>
    </row>
    <row r="17" customFormat="false" ht="15" hidden="false" customHeight="false" outlineLevel="0" collapsed="false">
      <c r="A17" s="15" t="s">
        <v>466</v>
      </c>
      <c r="B17" s="15" t="s">
        <v>98</v>
      </c>
      <c r="C17" s="15" t="s">
        <v>467</v>
      </c>
      <c r="D17" s="15" t="s">
        <v>468</v>
      </c>
      <c r="E17" s="15" t="s">
        <v>469</v>
      </c>
      <c r="F17" s="15" t="s">
        <v>49</v>
      </c>
      <c r="G17" s="15"/>
    </row>
    <row r="18" customFormat="false" ht="15" hidden="false" customHeight="false" outlineLevel="0" collapsed="false">
      <c r="A18" s="15" t="s">
        <v>470</v>
      </c>
      <c r="B18" s="15" t="s">
        <v>101</v>
      </c>
      <c r="C18" s="15" t="s">
        <v>471</v>
      </c>
      <c r="D18" s="15" t="s">
        <v>472</v>
      </c>
      <c r="E18" s="15" t="s">
        <v>473</v>
      </c>
      <c r="F18" s="15" t="s">
        <v>46</v>
      </c>
      <c r="G18" s="15"/>
    </row>
    <row r="19" customFormat="false" ht="15" hidden="false" customHeight="false" outlineLevel="0" collapsed="false">
      <c r="A19" s="15" t="s">
        <v>474</v>
      </c>
      <c r="B19" s="15" t="s">
        <v>105</v>
      </c>
      <c r="C19" s="15" t="s">
        <v>475</v>
      </c>
      <c r="D19" s="15" t="s">
        <v>476</v>
      </c>
      <c r="E19" s="15" t="s">
        <v>477</v>
      </c>
      <c r="F19" s="15" t="s">
        <v>46</v>
      </c>
      <c r="G19" s="15"/>
    </row>
    <row r="20" customFormat="false" ht="15" hidden="false" customHeight="false" outlineLevel="0" collapsed="false">
      <c r="A20" s="15" t="s">
        <v>478</v>
      </c>
      <c r="B20" s="15" t="s">
        <v>110</v>
      </c>
      <c r="C20" s="15" t="s">
        <v>479</v>
      </c>
      <c r="D20" s="15" t="s">
        <v>480</v>
      </c>
      <c r="E20" s="15" t="s">
        <v>481</v>
      </c>
      <c r="F20" s="15" t="s">
        <v>46</v>
      </c>
      <c r="G20" s="15"/>
    </row>
    <row r="21" customFormat="false" ht="15" hidden="false" customHeight="false" outlineLevel="0" collapsed="false">
      <c r="A21" s="15" t="s">
        <v>482</v>
      </c>
      <c r="B21" s="15" t="s">
        <v>114</v>
      </c>
      <c r="C21" s="15" t="s">
        <v>483</v>
      </c>
      <c r="D21" s="15" t="s">
        <v>484</v>
      </c>
      <c r="E21" s="15" t="s">
        <v>485</v>
      </c>
      <c r="F21" s="15" t="s">
        <v>49</v>
      </c>
      <c r="G21" s="15"/>
    </row>
  </sheetData>
  <conditionalFormatting sqref="F5:F40">
    <cfRule type="expression" priority="2" aboveAverage="0" equalAverage="0" bottom="0" percent="0" rank="0" text="" dxfId="0">
      <formula>F5="Pass"</formula>
    </cfRule>
    <cfRule type="expression" priority="3" aboveAverage="0" equalAverage="0" bottom="0" percent="0" rank="0" text="" dxfId="1">
      <formula>F5="Fail"</formula>
    </cfRule>
    <cfRule type="expression" priority="4" aboveAverage="0" equalAverage="0" bottom="0" percent="0" rank="0" text="" dxfId="2">
      <formula>F5="Blocked"</formula>
    </cfRule>
    <cfRule type="expression" priority="5" aboveAverage="0" equalAverage="0" bottom="0" percent="0" rank="0" text="" dxfId="2">
      <formula>F5="Not Run"</formula>
    </cfRule>
  </conditionalFormatting>
  <dataValidations count="2">
    <dataValidation allowBlank="true" errorStyle="stop" operator="between" showDropDown="false" showErrorMessage="false" showInputMessage="false" sqref="F5:F40" type="list">
      <formula1>"Not Run,Pass,Fail,Blocked"</formula1>
      <formula2>0</formula2>
    </dataValidation>
    <dataValidation allowBlank="true" errorStyle="stop" operator="between" showDropDown="false" showErrorMessage="false" showInputMessage="false" sqref="B5:B40" type="list">
      <formula1>"R01,R02,R03,R04,R05,R06,R07,R08,R09,R10,R11,R12,R13,R14,R15"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486</v>
      </c>
    </row>
    <row r="4" customFormat="false" ht="15" hidden="false" customHeight="false" outlineLevel="0" collapsed="false">
      <c r="A4" s="14" t="s">
        <v>487</v>
      </c>
      <c r="B4" s="14" t="s">
        <v>132</v>
      </c>
      <c r="C4" s="14" t="s">
        <v>488</v>
      </c>
      <c r="D4" s="14" t="s">
        <v>65</v>
      </c>
    </row>
    <row r="5" customFormat="false" ht="15" hidden="false" customHeight="false" outlineLevel="0" collapsed="false">
      <c r="A5" s="15" t="s">
        <v>489</v>
      </c>
      <c r="B5" s="15" t="s">
        <v>79</v>
      </c>
      <c r="C5" s="15" t="s">
        <v>490</v>
      </c>
      <c r="D5" s="15" t="s">
        <v>491</v>
      </c>
    </row>
    <row r="6" customFormat="false" ht="15" hidden="false" customHeight="false" outlineLevel="0" collapsed="false">
      <c r="A6" s="15" t="s">
        <v>492</v>
      </c>
      <c r="B6" s="15" t="s">
        <v>493</v>
      </c>
      <c r="C6" s="15" t="s">
        <v>494</v>
      </c>
      <c r="D6" s="15" t="s">
        <v>491</v>
      </c>
    </row>
    <row r="7" customFormat="false" ht="15" hidden="false" customHeight="false" outlineLevel="0" collapsed="false">
      <c r="A7" s="15" t="s">
        <v>495</v>
      </c>
      <c r="B7" s="15" t="s">
        <v>496</v>
      </c>
      <c r="C7" s="15" t="s">
        <v>497</v>
      </c>
      <c r="D7" s="15" t="s">
        <v>498</v>
      </c>
    </row>
    <row r="8" customFormat="false" ht="15" hidden="false" customHeight="false" outlineLevel="0" collapsed="false">
      <c r="A8" s="15" t="s">
        <v>499</v>
      </c>
      <c r="B8" s="15" t="s">
        <v>496</v>
      </c>
      <c r="C8" s="15" t="s">
        <v>500</v>
      </c>
      <c r="D8" s="15" t="s">
        <v>501</v>
      </c>
    </row>
    <row r="9" customFormat="false" ht="15" hidden="false" customHeight="false" outlineLevel="0" collapsed="false">
      <c r="A9" s="15" t="s">
        <v>502</v>
      </c>
      <c r="B9" s="15" t="s">
        <v>92</v>
      </c>
      <c r="C9" s="15" t="s">
        <v>503</v>
      </c>
      <c r="D9" s="15" t="s">
        <v>501</v>
      </c>
    </row>
    <row r="10" customFormat="false" ht="15" hidden="false" customHeight="false" outlineLevel="0" collapsed="false">
      <c r="A10" s="15" t="s">
        <v>504</v>
      </c>
      <c r="B10" s="15" t="s">
        <v>505</v>
      </c>
      <c r="C10" s="15" t="s">
        <v>506</v>
      </c>
      <c r="D10" s="15" t="s">
        <v>501</v>
      </c>
    </row>
    <row r="13" customFormat="false" ht="15" hidden="false" customHeight="false" outlineLevel="0" collapsed="false">
      <c r="A13" s="14" t="s">
        <v>507</v>
      </c>
      <c r="B13" s="14" t="s">
        <v>508</v>
      </c>
      <c r="C13" s="14" t="s">
        <v>509</v>
      </c>
      <c r="D13" s="14" t="s">
        <v>133</v>
      </c>
    </row>
    <row r="14" customFormat="false" ht="15" hidden="false" customHeight="false" outlineLevel="0" collapsed="false">
      <c r="A14" s="15" t="s">
        <v>138</v>
      </c>
      <c r="B14" s="15" t="s">
        <v>510</v>
      </c>
      <c r="C14" s="15" t="s">
        <v>511</v>
      </c>
      <c r="D14" s="15" t="s">
        <v>66</v>
      </c>
    </row>
    <row r="15" customFormat="false" ht="23.85" hidden="false" customHeight="false" outlineLevel="0" collapsed="false">
      <c r="A15" s="15" t="s">
        <v>154</v>
      </c>
      <c r="B15" s="15" t="s">
        <v>512</v>
      </c>
      <c r="C15" s="15" t="s">
        <v>513</v>
      </c>
      <c r="D15" s="15" t="s">
        <v>93</v>
      </c>
    </row>
    <row r="16" customFormat="false" ht="15" hidden="false" customHeight="false" outlineLevel="0" collapsed="false">
      <c r="A16" s="15" t="s">
        <v>265</v>
      </c>
      <c r="B16" s="15" t="s">
        <v>514</v>
      </c>
      <c r="C16" s="15" t="s">
        <v>515</v>
      </c>
      <c r="D16" s="15" t="s">
        <v>73</v>
      </c>
    </row>
    <row r="17" customFormat="false" ht="23.85" hidden="false" customHeight="false" outlineLevel="0" collapsed="false">
      <c r="A17" s="15" t="s">
        <v>150</v>
      </c>
      <c r="B17" s="15" t="s">
        <v>516</v>
      </c>
      <c r="C17" s="15" t="s">
        <v>517</v>
      </c>
      <c r="D17" s="15" t="s">
        <v>77</v>
      </c>
    </row>
    <row r="18" customFormat="false" ht="23.85" hidden="false" customHeight="false" outlineLevel="0" collapsed="false">
      <c r="A18" s="15" t="s">
        <v>518</v>
      </c>
      <c r="B18" s="15" t="s">
        <v>519</v>
      </c>
      <c r="C18" s="15" t="s">
        <v>520</v>
      </c>
      <c r="D18" s="15" t="s">
        <v>118</v>
      </c>
    </row>
  </sheetData>
  <conditionalFormatting sqref="D5:D20">
    <cfRule type="expression" priority="2" aboveAverage="0" equalAverage="0" bottom="0" percent="0" rank="0" text="" dxfId="0">
      <formula>D5="Done"</formula>
    </cfRule>
    <cfRule type="expression" priority="3" aboveAverage="0" equalAverage="0" bottom="0" percent="0" rank="0" text="" dxfId="1">
      <formula>D5="Blocked"</formula>
    </cfRule>
    <cfRule type="expression" priority="4" aboveAverage="0" equalAverage="0" bottom="0" percent="0" rank="0" text="" dxfId="2">
      <formula>D5="In progress"</formula>
    </cfRule>
  </conditionalFormatting>
  <dataValidations count="1">
    <dataValidation allowBlank="true" errorStyle="stop" operator="between" showDropDown="false" showErrorMessage="false" showInputMessage="false" sqref="D5:D20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6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1" t="s">
        <v>521</v>
      </c>
    </row>
    <row r="2" customFormat="false" ht="15" hidden="false" customHeight="false" outlineLevel="0" collapsed="false">
      <c r="A2" s="2" t="s">
        <v>522</v>
      </c>
    </row>
    <row r="4" customFormat="false" ht="15" hidden="false" customHeight="false" outlineLevel="0" collapsed="false">
      <c r="A4" s="14" t="s">
        <v>523</v>
      </c>
      <c r="B4" s="14" t="s">
        <v>524</v>
      </c>
      <c r="C4" s="14" t="s">
        <v>525</v>
      </c>
    </row>
    <row r="5" customFormat="false" ht="23.85" hidden="false" customHeight="false" outlineLevel="0" collapsed="false">
      <c r="A5" s="15" t="s">
        <v>526</v>
      </c>
      <c r="B5" s="15" t="s">
        <v>527</v>
      </c>
      <c r="C5" s="15" t="s">
        <v>528</v>
      </c>
    </row>
    <row r="6" customFormat="false" ht="23.85" hidden="false" customHeight="false" outlineLevel="0" collapsed="false">
      <c r="A6" s="15" t="s">
        <v>529</v>
      </c>
      <c r="B6" s="15" t="s">
        <v>530</v>
      </c>
      <c r="C6" s="15" t="s">
        <v>531</v>
      </c>
    </row>
    <row r="7" customFormat="false" ht="23.85" hidden="false" customHeight="false" outlineLevel="0" collapsed="false">
      <c r="A7" s="15" t="s">
        <v>532</v>
      </c>
      <c r="B7" s="15" t="s">
        <v>533</v>
      </c>
      <c r="C7" s="15" t="s">
        <v>534</v>
      </c>
    </row>
    <row r="8" customFormat="false" ht="15" hidden="false" customHeight="false" outlineLevel="0" collapsed="false">
      <c r="A8" s="15" t="s">
        <v>535</v>
      </c>
      <c r="B8" s="15" t="s">
        <v>536</v>
      </c>
      <c r="C8" s="15" t="s">
        <v>537</v>
      </c>
    </row>
    <row r="9" customFormat="false" ht="23.85" hidden="false" customHeight="false" outlineLevel="0" collapsed="false">
      <c r="A9" s="15" t="s">
        <v>538</v>
      </c>
      <c r="B9" s="15" t="s">
        <v>539</v>
      </c>
      <c r="C9" s="15" t="s">
        <v>540</v>
      </c>
    </row>
    <row r="10" customFormat="false" ht="23.85" hidden="false" customHeight="false" outlineLevel="0" collapsed="false">
      <c r="A10" s="15" t="s">
        <v>541</v>
      </c>
      <c r="B10" s="15" t="s">
        <v>44</v>
      </c>
      <c r="C10" s="15" t="s">
        <v>542</v>
      </c>
    </row>
    <row r="11" customFormat="false" ht="15" hidden="false" customHeight="false" outlineLevel="0" collapsed="false">
      <c r="A11" s="15" t="s">
        <v>543</v>
      </c>
      <c r="B11" s="15" t="s">
        <v>544</v>
      </c>
      <c r="C11" s="15" t="s">
        <v>545</v>
      </c>
    </row>
    <row r="12" customFormat="false" ht="23.85" hidden="false" customHeight="false" outlineLevel="0" collapsed="false">
      <c r="A12" s="15" t="s">
        <v>546</v>
      </c>
      <c r="B12" s="15" t="s">
        <v>547</v>
      </c>
      <c r="C12" s="15" t="s">
        <v>548</v>
      </c>
    </row>
    <row r="13" customFormat="false" ht="15" hidden="false" customHeight="false" outlineLevel="0" collapsed="false">
      <c r="A13" s="15" t="s">
        <v>549</v>
      </c>
      <c r="B13" s="15" t="s">
        <v>550</v>
      </c>
      <c r="C13" s="15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2026-10-11T03:07:13Z</dcterms:created>
  <dc:creator>openpyxl</dc:creator>
  <dc:description/>
  <dc:language>en-US</dc:language>
  <cp:lastModifiedBy/>
  <dcterms:modified xsi:type="dcterms:W3CDTF">2026-10-11T03:07:13Z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